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ABH TREELAND\G - WING (ABH TREELAND)\Excel Files - G WING\"/>
    </mc:Choice>
  </mc:AlternateContent>
  <xr:revisionPtr revIDLastSave="0" documentId="13_ncr:1_{CF2B6C37-4D72-4C7E-8DD6-67C46282F9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1" i="2" l="1"/>
  <c r="E23" i="2" s="1"/>
  <c r="E17" i="2"/>
  <c r="E19" i="2" s="1"/>
  <c r="E448" i="2"/>
  <c r="E447" i="2"/>
  <c r="E430" i="2"/>
  <c r="E469" i="2" s="1"/>
  <c r="E444" i="2"/>
  <c r="E443" i="2"/>
  <c r="E445" i="2" s="1"/>
  <c r="E477" i="2" s="1"/>
  <c r="E429" i="2"/>
  <c r="E468" i="2" s="1"/>
  <c r="E440" i="2"/>
  <c r="E439" i="2"/>
  <c r="E441" i="2" s="1"/>
  <c r="E476" i="2" s="1"/>
  <c r="E428" i="2"/>
  <c r="E467" i="2" s="1"/>
  <c r="E436" i="2"/>
  <c r="E435" i="2"/>
  <c r="E437" i="2" s="1"/>
  <c r="E475" i="2" s="1"/>
  <c r="E427" i="2"/>
  <c r="E466" i="2" s="1"/>
  <c r="E356" i="2"/>
  <c r="E365" i="2"/>
  <c r="E374" i="2"/>
  <c r="E394" i="2"/>
  <c r="E393" i="2"/>
  <c r="E392" i="2"/>
  <c r="E391" i="2"/>
  <c r="E390" i="2"/>
  <c r="E389" i="2"/>
  <c r="E373" i="2"/>
  <c r="E372" i="2"/>
  <c r="E371" i="2"/>
  <c r="E370" i="2"/>
  <c r="E369" i="2"/>
  <c r="E364" i="2"/>
  <c r="E355" i="2"/>
  <c r="E363" i="2"/>
  <c r="E362" i="2"/>
  <c r="E361" i="2"/>
  <c r="E360" i="2"/>
  <c r="E352" i="2"/>
  <c r="E353" i="2"/>
  <c r="E354" i="2"/>
  <c r="E351" i="2"/>
  <c r="E335" i="2"/>
  <c r="E336" i="2"/>
  <c r="E337" i="2"/>
  <c r="E334" i="2"/>
  <c r="E330" i="2"/>
  <c r="E329" i="2"/>
  <c r="E331" i="2" s="1"/>
  <c r="E12" i="2" s="1"/>
  <c r="E324" i="2"/>
  <c r="E323" i="2"/>
  <c r="E322" i="2"/>
  <c r="E321" i="2"/>
  <c r="E317" i="2"/>
  <c r="E316" i="2"/>
  <c r="E315" i="2"/>
  <c r="E314" i="2"/>
  <c r="E302" i="2"/>
  <c r="E301" i="2"/>
  <c r="E300" i="2"/>
  <c r="E299" i="2"/>
  <c r="E298" i="2"/>
  <c r="F297" i="2"/>
  <c r="E296" i="2"/>
  <c r="F295" i="2"/>
  <c r="E294" i="2"/>
  <c r="E289" i="2"/>
  <c r="E288" i="2"/>
  <c r="E287" i="2"/>
  <c r="E286" i="2"/>
  <c r="E285" i="2"/>
  <c r="E284" i="2"/>
  <c r="E283" i="2"/>
  <c r="F282" i="2"/>
  <c r="F281" i="2"/>
  <c r="E280" i="2"/>
  <c r="E279" i="2"/>
  <c r="F278" i="2"/>
  <c r="F277" i="2"/>
  <c r="E276" i="2"/>
  <c r="E248" i="2"/>
  <c r="E247" i="2"/>
  <c r="E246" i="2"/>
  <c r="E245" i="2"/>
  <c r="E241" i="2"/>
  <c r="E240" i="2"/>
  <c r="E239" i="2"/>
  <c r="E238" i="2"/>
  <c r="E226" i="2"/>
  <c r="E225" i="2"/>
  <c r="E224" i="2"/>
  <c r="E223" i="2"/>
  <c r="E222" i="2"/>
  <c r="F221" i="2"/>
  <c r="E220" i="2"/>
  <c r="F219" i="2"/>
  <c r="F227" i="2" s="1"/>
  <c r="E218" i="2"/>
  <c r="E213" i="2"/>
  <c r="E212" i="2"/>
  <c r="E211" i="2"/>
  <c r="E210" i="2"/>
  <c r="E209" i="2"/>
  <c r="E208" i="2"/>
  <c r="E207" i="2"/>
  <c r="F206" i="2"/>
  <c r="F205" i="2"/>
  <c r="E204" i="2"/>
  <c r="E203" i="2"/>
  <c r="F202" i="2"/>
  <c r="F201" i="2"/>
  <c r="E200" i="2"/>
  <c r="E172" i="2"/>
  <c r="E171" i="2"/>
  <c r="E170" i="2"/>
  <c r="E169" i="2"/>
  <c r="E165" i="2"/>
  <c r="E164" i="2"/>
  <c r="E163" i="2"/>
  <c r="E162" i="2"/>
  <c r="E137" i="2"/>
  <c r="E136" i="2"/>
  <c r="E135" i="2"/>
  <c r="E134" i="2"/>
  <c r="E133" i="2"/>
  <c r="E59" i="2"/>
  <c r="E58" i="2"/>
  <c r="E57" i="2"/>
  <c r="E56" i="2"/>
  <c r="E55" i="2"/>
  <c r="E150" i="2"/>
  <c r="E149" i="2"/>
  <c r="E148" i="2"/>
  <c r="E147" i="2"/>
  <c r="E146" i="2"/>
  <c r="F145" i="2"/>
  <c r="E144" i="2"/>
  <c r="F143" i="2"/>
  <c r="E142" i="2"/>
  <c r="E132" i="2"/>
  <c r="E131" i="2"/>
  <c r="F130" i="2"/>
  <c r="F129" i="2"/>
  <c r="E128" i="2"/>
  <c r="E127" i="2"/>
  <c r="F126" i="2"/>
  <c r="F125" i="2"/>
  <c r="E124" i="2"/>
  <c r="E94" i="2"/>
  <c r="E95" i="2"/>
  <c r="E96" i="2"/>
  <c r="E93" i="2"/>
  <c r="E89" i="2"/>
  <c r="E88" i="2"/>
  <c r="E87" i="2"/>
  <c r="E86" i="2"/>
  <c r="E74" i="2"/>
  <c r="E73" i="2"/>
  <c r="E72" i="2"/>
  <c r="E71" i="2"/>
  <c r="E70" i="2"/>
  <c r="F69" i="2"/>
  <c r="E68" i="2"/>
  <c r="F67" i="2"/>
  <c r="E66" i="2"/>
  <c r="E54" i="2"/>
  <c r="E53" i="2"/>
  <c r="F52" i="2"/>
  <c r="F51" i="2"/>
  <c r="E50" i="2"/>
  <c r="E49" i="2"/>
  <c r="F48" i="2"/>
  <c r="F47" i="2"/>
  <c r="F60" i="2" s="1"/>
  <c r="E46" i="2"/>
  <c r="E470" i="2" l="1"/>
  <c r="E472" i="2" s="1"/>
  <c r="F303" i="2"/>
  <c r="E90" i="2"/>
  <c r="E449" i="2"/>
  <c r="E478" i="2" s="1"/>
  <c r="E479" i="2" s="1"/>
  <c r="E481" i="2" s="1"/>
  <c r="E357" i="2"/>
  <c r="E97" i="2"/>
  <c r="E366" i="2"/>
  <c r="E431" i="2"/>
  <c r="E138" i="2"/>
  <c r="E338" i="2"/>
  <c r="E60" i="2"/>
  <c r="E62" i="2" s="1"/>
  <c r="F138" i="2"/>
  <c r="E375" i="2"/>
  <c r="F75" i="2"/>
  <c r="E227" i="2"/>
  <c r="E229" i="2" s="1"/>
  <c r="E75" i="2"/>
  <c r="F151" i="2"/>
  <c r="E395" i="2"/>
  <c r="E325" i="2"/>
  <c r="E318" i="2"/>
  <c r="E303" i="2"/>
  <c r="E290" i="2"/>
  <c r="F290" i="2"/>
  <c r="E249" i="2"/>
  <c r="E242" i="2"/>
  <c r="F214" i="2"/>
  <c r="E214" i="2"/>
  <c r="E173" i="2"/>
  <c r="E166" i="2"/>
  <c r="E151" i="2"/>
  <c r="E305" i="2" l="1"/>
  <c r="E29" i="2"/>
  <c r="E28" i="2"/>
  <c r="E31" i="2"/>
  <c r="E30" i="2"/>
  <c r="E153" i="2"/>
  <c r="E140" i="2"/>
  <c r="E9" i="2" s="1"/>
  <c r="E77" i="2"/>
  <c r="E8" i="2" s="1"/>
  <c r="E292" i="2"/>
  <c r="E216" i="2"/>
  <c r="E10" i="2" s="1"/>
  <c r="E32" i="2" l="1"/>
  <c r="E11" i="2"/>
  <c r="E13" i="2" s="1"/>
  <c r="E15" i="2" s="1"/>
  <c r="E25" i="2" s="1"/>
  <c r="E34" i="2" l="1"/>
</calcChain>
</file>

<file path=xl/sharedStrings.xml><?xml version="1.0" encoding="utf-8"?>
<sst xmlns="http://schemas.openxmlformats.org/spreadsheetml/2006/main" count="442" uniqueCount="86">
  <si>
    <t xml:space="preserve">Page No :- </t>
  </si>
  <si>
    <t xml:space="preserve">Particular </t>
  </si>
  <si>
    <t>Page No.</t>
  </si>
  <si>
    <t xml:space="preserve">Qty </t>
  </si>
  <si>
    <t>SQM</t>
  </si>
  <si>
    <t xml:space="preserve">Summary :- </t>
  </si>
  <si>
    <t>Particular</t>
  </si>
  <si>
    <t>Nos</t>
  </si>
  <si>
    <t>Length</t>
  </si>
  <si>
    <t>Height</t>
  </si>
  <si>
    <t>Qty</t>
  </si>
  <si>
    <t>Deduct</t>
  </si>
  <si>
    <t>Site Name :- ABH TREELAND "G" WING</t>
  </si>
  <si>
    <t>TOTAL</t>
  </si>
  <si>
    <t>D</t>
  </si>
  <si>
    <t>Summary :- Ultima Protek - Internal Measurements</t>
  </si>
  <si>
    <t>FLAT NO.: 1</t>
  </si>
  <si>
    <r>
      <t>Hall Gallery</t>
    </r>
    <r>
      <rPr>
        <b/>
        <sz val="14"/>
        <color theme="1"/>
        <rFont val="Calibri"/>
        <family val="2"/>
      </rPr>
      <t xml:space="preserve"> :</t>
    </r>
  </si>
  <si>
    <t>North - South Jamb Wall</t>
  </si>
  <si>
    <r>
      <rPr>
        <b/>
        <sz val="14"/>
        <color theme="1"/>
        <rFont val="Calibri"/>
        <family val="2"/>
      </rPr>
      <t>Deduct -</t>
    </r>
    <r>
      <rPr>
        <sz val="14"/>
        <color theme="1"/>
        <rFont val="Calibri"/>
        <family val="2"/>
      </rPr>
      <t xml:space="preserve"> Top Beam (N-S)</t>
    </r>
  </si>
  <si>
    <r>
      <rPr>
        <b/>
        <sz val="14"/>
        <color theme="1"/>
        <rFont val="Calibri"/>
        <family val="2"/>
      </rPr>
      <t>Deduct -</t>
    </r>
    <r>
      <rPr>
        <sz val="14"/>
        <color theme="1"/>
        <rFont val="Calibri"/>
        <family val="2"/>
      </rPr>
      <t xml:space="preserve"> Bottom Beam (N-S)</t>
    </r>
  </si>
  <si>
    <t>Add R.S Patti Jamb</t>
  </si>
  <si>
    <t>Add Door Wall</t>
  </si>
  <si>
    <r>
      <rPr>
        <b/>
        <sz val="14"/>
        <color theme="1"/>
        <rFont val="Calibri"/>
        <family val="2"/>
      </rPr>
      <t>Deduct -</t>
    </r>
    <r>
      <rPr>
        <sz val="14"/>
        <color theme="1"/>
        <rFont val="Calibri"/>
        <family val="2"/>
      </rPr>
      <t xml:space="preserve"> Door</t>
    </r>
  </si>
  <si>
    <r>
      <rPr>
        <b/>
        <sz val="14"/>
        <color theme="1"/>
        <rFont val="Calibri"/>
        <family val="2"/>
      </rPr>
      <t>Deduct -</t>
    </r>
    <r>
      <rPr>
        <sz val="14"/>
        <color theme="1"/>
        <rFont val="Calibri"/>
        <family val="2"/>
      </rPr>
      <t xml:space="preserve"> Ver. Jamb</t>
    </r>
  </si>
  <si>
    <t>Add Door N-S Ver. Jamb</t>
  </si>
  <si>
    <t>Add Door N-S Hor. Jamb</t>
  </si>
  <si>
    <r>
      <rPr>
        <b/>
        <u/>
        <sz val="14"/>
        <color theme="1"/>
        <rFont val="Calibri"/>
        <family val="2"/>
      </rPr>
      <t>Utility</t>
    </r>
    <r>
      <rPr>
        <b/>
        <sz val="14"/>
        <color theme="1"/>
        <rFont val="Calibri"/>
        <family val="2"/>
      </rPr>
      <t xml:space="preserve"> :</t>
    </r>
  </si>
  <si>
    <t>Top Beam Int. Ver. Jamb N-S Dire.</t>
  </si>
  <si>
    <t>Top Beam Bot. Hor. Jamb N-S Dire.</t>
  </si>
  <si>
    <t>Add Pani Patti</t>
  </si>
  <si>
    <r>
      <t>Children Bed Room</t>
    </r>
    <r>
      <rPr>
        <b/>
        <sz val="14"/>
        <rFont val="Calibri"/>
        <family val="2"/>
      </rPr>
      <t xml:space="preserve"> :</t>
    </r>
  </si>
  <si>
    <t>Window Ver. Jamb</t>
  </si>
  <si>
    <t>Window Top Hor. Jamb</t>
  </si>
  <si>
    <r>
      <t xml:space="preserve">Add Window Top Hor. Jamb </t>
    </r>
    <r>
      <rPr>
        <b/>
        <sz val="14"/>
        <rFont val="Calibri"/>
        <family val="2"/>
      </rPr>
      <t>Pani Patti</t>
    </r>
  </si>
  <si>
    <t>Window Bottom Hor. Jamb</t>
  </si>
  <si>
    <r>
      <rPr>
        <b/>
        <u/>
        <sz val="14"/>
        <rFont val="Calibri"/>
        <family val="2"/>
      </rPr>
      <t>Master Bed Room</t>
    </r>
    <r>
      <rPr>
        <b/>
        <sz val="14"/>
        <rFont val="Calibri"/>
        <family val="2"/>
      </rPr>
      <t xml:space="preserve"> :</t>
    </r>
  </si>
  <si>
    <t>FLAT NO.: 2</t>
  </si>
  <si>
    <t>Add Top Beam Int. Ver. Jamb</t>
  </si>
  <si>
    <t>Add Top Beam Bottom Hor. Jamb</t>
  </si>
  <si>
    <r>
      <t>Add Top Beam Bottom Hor. Jamb</t>
    </r>
    <r>
      <rPr>
        <b/>
        <sz val="14"/>
        <color theme="1"/>
        <rFont val="Calibri"/>
        <family val="2"/>
      </rPr>
      <t xml:space="preserve"> Pani Patti</t>
    </r>
  </si>
  <si>
    <t>Add Bottom Beam Int. Ver. Jamb</t>
  </si>
  <si>
    <t>Add Bottom Beam Top Hor. Jamb</t>
  </si>
  <si>
    <t>Summary :- Ultima Protek - Internal Measurements {Flat No. 1}</t>
  </si>
  <si>
    <r>
      <t xml:space="preserve">Summary :- </t>
    </r>
    <r>
      <rPr>
        <b/>
        <u/>
        <sz val="14"/>
        <color theme="1"/>
        <rFont val="Calibri"/>
        <family val="2"/>
      </rPr>
      <t>Ultima Protek</t>
    </r>
    <r>
      <rPr>
        <b/>
        <sz val="14"/>
        <color theme="1"/>
        <rFont val="Calibri"/>
        <family val="2"/>
      </rPr>
      <t xml:space="preserve"> - Internal Measurements {Flat No. 2}</t>
    </r>
  </si>
  <si>
    <r>
      <t xml:space="preserve">Summary :- </t>
    </r>
    <r>
      <rPr>
        <b/>
        <u/>
        <sz val="14"/>
        <color theme="1"/>
        <rFont val="Calibri"/>
        <family val="2"/>
      </rPr>
      <t>Ultima Protek</t>
    </r>
    <r>
      <rPr>
        <b/>
        <sz val="14"/>
        <color theme="1"/>
        <rFont val="Calibri"/>
        <family val="2"/>
      </rPr>
      <t xml:space="preserve"> - Internal Measurements {Flat No. 3}</t>
    </r>
  </si>
  <si>
    <t>FLAT NO.: 3</t>
  </si>
  <si>
    <t>Add Patti Jamb</t>
  </si>
  <si>
    <r>
      <t xml:space="preserve">Summary :- </t>
    </r>
    <r>
      <rPr>
        <b/>
        <u/>
        <sz val="14"/>
        <color theme="1"/>
        <rFont val="Calibri"/>
        <family val="2"/>
      </rPr>
      <t>Ultima Protek</t>
    </r>
    <r>
      <rPr>
        <b/>
        <sz val="14"/>
        <color theme="1"/>
        <rFont val="Calibri"/>
        <family val="2"/>
      </rPr>
      <t xml:space="preserve"> - Internal Measurements {Flat No. 4}</t>
    </r>
  </si>
  <si>
    <t>FLAT NO.: 4</t>
  </si>
  <si>
    <t>Add L.S Patti Jamb</t>
  </si>
  <si>
    <t>Refuge Wall</t>
  </si>
  <si>
    <t>Window Hor. Jamb</t>
  </si>
  <si>
    <t>Fire Staircase Wall</t>
  </si>
  <si>
    <t>Garbaje Window Ver. Jamb</t>
  </si>
  <si>
    <t>Garbaje Window Hor. Jamb</t>
  </si>
  <si>
    <r>
      <t xml:space="preserve">Summary :- </t>
    </r>
    <r>
      <rPr>
        <b/>
        <u/>
        <sz val="14"/>
        <color theme="1"/>
        <rFont val="Calibri"/>
        <family val="2"/>
      </rPr>
      <t>Ultima Protek</t>
    </r>
    <r>
      <rPr>
        <b/>
        <sz val="14"/>
        <color theme="1"/>
        <rFont val="Calibri"/>
        <family val="2"/>
      </rPr>
      <t xml:space="preserve"> - Internal Measurements {Flat No. 4 &amp; Windows}</t>
    </r>
  </si>
  <si>
    <r>
      <t xml:space="preserve">Summary :- </t>
    </r>
    <r>
      <rPr>
        <b/>
        <u/>
        <sz val="14"/>
        <color theme="1"/>
        <rFont val="Calibri"/>
        <family val="2"/>
      </rPr>
      <t>Apex Paint</t>
    </r>
    <r>
      <rPr>
        <b/>
        <sz val="14"/>
        <color theme="1"/>
        <rFont val="Calibri"/>
        <family val="2"/>
      </rPr>
      <t xml:space="preserve"> - PVC Pipes</t>
    </r>
  </si>
  <si>
    <r>
      <t xml:space="preserve">Hall : </t>
    </r>
    <r>
      <rPr>
        <sz val="14"/>
        <color theme="1"/>
        <rFont val="Calibri"/>
        <family val="2"/>
      </rPr>
      <t>PVC Pipes</t>
    </r>
  </si>
  <si>
    <r>
      <t xml:space="preserve">Utility : </t>
    </r>
    <r>
      <rPr>
        <sz val="14"/>
        <color theme="1"/>
        <rFont val="Calibri"/>
        <family val="2"/>
      </rPr>
      <t>PVC Pipes</t>
    </r>
  </si>
  <si>
    <t xml:space="preserve">               PVC Pipes</t>
  </si>
  <si>
    <t xml:space="preserve">               PVC Pipes 4 Nos.</t>
  </si>
  <si>
    <r>
      <t xml:space="preserve">Hall : </t>
    </r>
    <r>
      <rPr>
        <sz val="14"/>
        <color theme="1"/>
        <rFont val="Calibri"/>
        <family val="2"/>
      </rPr>
      <t>Pipe Holding Clamp</t>
    </r>
  </si>
  <si>
    <r>
      <t xml:space="preserve">Utility : </t>
    </r>
    <r>
      <rPr>
        <sz val="14"/>
        <color theme="1"/>
        <rFont val="Calibri"/>
        <family val="2"/>
      </rPr>
      <t>PVC Pipes</t>
    </r>
    <r>
      <rPr>
        <b/>
        <sz val="14"/>
        <color theme="1"/>
        <rFont val="Calibri"/>
        <family val="2"/>
      </rPr>
      <t xml:space="preserve"> </t>
    </r>
    <r>
      <rPr>
        <sz val="14"/>
        <color theme="1"/>
        <rFont val="Calibri"/>
        <family val="2"/>
      </rPr>
      <t>Holding Clamp</t>
    </r>
  </si>
  <si>
    <r>
      <t xml:space="preserve">Hall : </t>
    </r>
    <r>
      <rPr>
        <sz val="14"/>
        <color theme="1"/>
        <rFont val="Calibri"/>
        <family val="2"/>
      </rPr>
      <t>Pipe Holding Clamp</t>
    </r>
    <r>
      <rPr>
        <b/>
        <sz val="14"/>
        <color theme="1"/>
        <rFont val="Calibri"/>
        <family val="2"/>
      </rPr>
      <t xml:space="preserve"> </t>
    </r>
  </si>
  <si>
    <t>Summary :- Auto Paint - Railings &amp; Window Grills</t>
  </si>
  <si>
    <r>
      <t xml:space="preserve">Children Bed Room : </t>
    </r>
    <r>
      <rPr>
        <sz val="14"/>
        <color theme="1"/>
        <rFont val="Calibri"/>
        <family val="2"/>
      </rPr>
      <t>Window Grill</t>
    </r>
  </si>
  <si>
    <r>
      <t xml:space="preserve">Master Bed Room : </t>
    </r>
    <r>
      <rPr>
        <sz val="14"/>
        <color theme="1"/>
        <rFont val="Calibri"/>
        <family val="2"/>
      </rPr>
      <t>Window Grill</t>
    </r>
  </si>
  <si>
    <r>
      <t xml:space="preserve">Hall : </t>
    </r>
    <r>
      <rPr>
        <sz val="14"/>
        <color theme="1"/>
        <rFont val="Calibri"/>
        <family val="2"/>
      </rPr>
      <t>Gallery Railing</t>
    </r>
    <r>
      <rPr>
        <b/>
        <sz val="14"/>
        <color theme="1"/>
        <rFont val="Calibri"/>
        <family val="2"/>
      </rPr>
      <t xml:space="preserve"> ( Flat No. 1 )</t>
    </r>
  </si>
  <si>
    <r>
      <t xml:space="preserve">Hall : </t>
    </r>
    <r>
      <rPr>
        <sz val="14"/>
        <color theme="1"/>
        <rFont val="Calibri"/>
        <family val="2"/>
      </rPr>
      <t>Gallery Railing</t>
    </r>
    <r>
      <rPr>
        <b/>
        <sz val="14"/>
        <color theme="1"/>
        <rFont val="Calibri"/>
        <family val="2"/>
      </rPr>
      <t xml:space="preserve"> ( Flat No. 2 )</t>
    </r>
  </si>
  <si>
    <r>
      <t xml:space="preserve">Hall : </t>
    </r>
    <r>
      <rPr>
        <sz val="14"/>
        <color theme="1"/>
        <rFont val="Calibri"/>
        <family val="2"/>
      </rPr>
      <t>Gallery Railing</t>
    </r>
    <r>
      <rPr>
        <b/>
        <sz val="14"/>
        <color theme="1"/>
        <rFont val="Calibri"/>
        <family val="2"/>
      </rPr>
      <t xml:space="preserve"> ( Flat No. 3 )</t>
    </r>
  </si>
  <si>
    <r>
      <t xml:space="preserve">Hall : </t>
    </r>
    <r>
      <rPr>
        <sz val="14"/>
        <color theme="1"/>
        <rFont val="Calibri"/>
        <family val="2"/>
      </rPr>
      <t>Gallery Railing</t>
    </r>
    <r>
      <rPr>
        <b/>
        <sz val="14"/>
        <color theme="1"/>
        <rFont val="Calibri"/>
        <family val="2"/>
      </rPr>
      <t xml:space="preserve"> ( Flat No. 4 )</t>
    </r>
  </si>
  <si>
    <t>Auto Paint :</t>
  </si>
  <si>
    <t>Oil Paint :</t>
  </si>
  <si>
    <t>Flat No.: 1</t>
  </si>
  <si>
    <t>Flat No.: 4</t>
  </si>
  <si>
    <t>Flat No.: 3</t>
  </si>
  <si>
    <t>Flat No.: 2</t>
  </si>
  <si>
    <t>x</t>
  </si>
  <si>
    <t>Summary :- Apex Paint - PVC Pipes</t>
  </si>
  <si>
    <t>Apex Paint - PVC Pipes</t>
  </si>
  <si>
    <t>Ultima Protek - Internal Measurements</t>
  </si>
  <si>
    <t>Fire Staircase Window</t>
  </si>
  <si>
    <t>Refuge Wall Window</t>
  </si>
  <si>
    <t>Final Quantity :-</t>
  </si>
  <si>
    <t>Fire Staircase Garbaje Window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</si>
</sst>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>
    <font>
      <sz val="11"/>
      <color theme="1"/>
      <name val="Calibri"/>
      <charset val="134"/>
      <scheme val="minor"/>
    </font>
    <font>
      <sz val="14"/>
      <color theme="1"/>
      <name val="Calibri"/>
      <charset val="134"/>
    </font>
    <font>
      <b/>
      <sz val="14"/>
      <color theme="1"/>
      <name val="Calibri"/>
      <charset val="134"/>
    </font>
    <font>
      <sz val="14"/>
      <name val="Calibri"/>
      <charset val="134"/>
    </font>
    <font>
      <b/>
      <sz val="14"/>
      <name val="Calibri"/>
      <charset val="134"/>
    </font>
    <font>
      <sz val="11"/>
      <color theme="1"/>
      <name val="Calibri"/>
      <charset val="134"/>
      <scheme val="minor"/>
    </font>
    <font>
      <b/>
      <sz val="14"/>
      <color theme="1"/>
      <name val="Calibri"/>
      <family val="2"/>
    </font>
    <font>
      <b/>
      <u/>
      <sz val="14"/>
      <color theme="1"/>
      <name val="Calibri"/>
      <family val="2"/>
    </font>
    <font>
      <sz val="14"/>
      <color theme="1"/>
      <name val="Calibri"/>
      <family val="2"/>
    </font>
    <font>
      <b/>
      <sz val="14"/>
      <name val="Calibri"/>
      <family val="2"/>
    </font>
    <font>
      <sz val="14"/>
      <name val="Calibri"/>
      <family val="2"/>
    </font>
    <font>
      <b/>
      <u/>
      <sz val="14"/>
      <name val="Calibri"/>
      <family val="2"/>
    </font>
    <font>
      <sz val="14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</borders>
  <cellStyleXfs count="2">
    <xf numFmtId="0" fontId="0" fillId="0" borderId="0"/>
    <xf numFmtId="0" fontId="5" fillId="0" borderId="0">
      <alignment vertical="center"/>
    </xf>
  </cellStyleXfs>
  <cellXfs count="208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horizontal="left" vertical="center" inden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1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2" xfId="0" applyFont="1" applyBorder="1" applyAlignment="1">
      <alignment horizontal="right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3" fillId="0" borderId="9" xfId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9" xfId="1" applyFont="1" applyBorder="1">
      <alignment vertical="center"/>
    </xf>
    <xf numFmtId="0" fontId="3" fillId="0" borderId="20" xfId="1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4" fillId="0" borderId="9" xfId="1" applyFont="1" applyBorder="1">
      <alignment vertical="center"/>
    </xf>
    <xf numFmtId="0" fontId="3" fillId="0" borderId="9" xfId="1" applyFont="1" applyBorder="1">
      <alignment vertical="center"/>
    </xf>
    <xf numFmtId="0" fontId="1" fillId="0" borderId="9" xfId="0" applyFont="1" applyBorder="1" applyAlignment="1">
      <alignment vertical="center"/>
    </xf>
    <xf numFmtId="0" fontId="3" fillId="0" borderId="9" xfId="1" applyFont="1" applyBorder="1" applyAlignment="1">
      <alignment vertical="center" wrapText="1"/>
    </xf>
    <xf numFmtId="0" fontId="3" fillId="3" borderId="9" xfId="0" applyFont="1" applyFill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3" borderId="9" xfId="0" applyFont="1" applyFill="1" applyBorder="1" applyAlignment="1">
      <alignment horizontal="left" vertical="center"/>
    </xf>
    <xf numFmtId="0" fontId="1" fillId="0" borderId="9" xfId="1" applyFont="1" applyBorder="1" applyAlignment="1">
      <alignment vertical="center" wrapText="1"/>
    </xf>
    <xf numFmtId="0" fontId="4" fillId="0" borderId="9" xfId="1" applyFont="1" applyBorder="1" applyAlignment="1">
      <alignment horizontal="left" vertical="center"/>
    </xf>
    <xf numFmtId="0" fontId="3" fillId="0" borderId="9" xfId="1" applyFont="1" applyBorder="1" applyAlignment="1">
      <alignment horizontal="left" vertical="center"/>
    </xf>
    <xf numFmtId="0" fontId="3" fillId="0" borderId="9" xfId="1" applyFont="1" applyBorder="1" applyAlignment="1">
      <alignment horizontal="left" vertical="center" wrapText="1"/>
    </xf>
    <xf numFmtId="0" fontId="1" fillId="0" borderId="9" xfId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3" fillId="3" borderId="9" xfId="1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1" fillId="3" borderId="9" xfId="1" applyFont="1" applyFill="1" applyBorder="1">
      <alignment vertical="center"/>
    </xf>
    <xf numFmtId="0" fontId="3" fillId="3" borderId="10" xfId="1" applyFont="1" applyFill="1" applyBorder="1" applyAlignment="1">
      <alignment horizontal="center" vertical="center"/>
    </xf>
    <xf numFmtId="0" fontId="3" fillId="3" borderId="16" xfId="1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 indent="1"/>
    </xf>
    <xf numFmtId="0" fontId="1" fillId="3" borderId="0" xfId="0" applyFont="1" applyFill="1" applyAlignment="1">
      <alignment vertical="center"/>
    </xf>
    <xf numFmtId="0" fontId="8" fillId="3" borderId="20" xfId="1" applyFont="1" applyFill="1" applyBorder="1">
      <alignment vertical="center"/>
    </xf>
    <xf numFmtId="0" fontId="8" fillId="3" borderId="9" xfId="1" applyFont="1" applyFill="1" applyBorder="1">
      <alignment vertical="center"/>
    </xf>
    <xf numFmtId="0" fontId="1" fillId="0" borderId="20" xfId="0" applyFont="1" applyBorder="1" applyAlignment="1">
      <alignment vertical="center"/>
    </xf>
    <xf numFmtId="0" fontId="9" fillId="5" borderId="17" xfId="1" applyFont="1" applyFill="1" applyBorder="1" applyAlignment="1">
      <alignment horizontal="center" vertical="center"/>
    </xf>
    <xf numFmtId="0" fontId="9" fillId="5" borderId="14" xfId="1" applyFont="1" applyFill="1" applyBorder="1" applyAlignment="1">
      <alignment horizontal="center" vertical="center"/>
    </xf>
    <xf numFmtId="0" fontId="9" fillId="5" borderId="18" xfId="1" applyFont="1" applyFill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9" fillId="2" borderId="17" xfId="1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2" fillId="0" borderId="16" xfId="0" applyFont="1" applyBorder="1" applyAlignment="1">
      <alignment horizontal="center" vertical="center"/>
    </xf>
    <xf numFmtId="0" fontId="6" fillId="4" borderId="21" xfId="1" applyFont="1" applyFill="1" applyBorder="1">
      <alignment vertical="center"/>
    </xf>
    <xf numFmtId="0" fontId="1" fillId="0" borderId="16" xfId="0" applyFont="1" applyBorder="1" applyAlignment="1">
      <alignment vertical="center"/>
    </xf>
    <xf numFmtId="0" fontId="3" fillId="3" borderId="20" xfId="1" applyFont="1" applyFill="1" applyBorder="1" applyAlignment="1">
      <alignment horizontal="center" vertical="center"/>
    </xf>
    <xf numFmtId="0" fontId="9" fillId="2" borderId="18" xfId="1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vertical="center"/>
    </xf>
    <xf numFmtId="0" fontId="1" fillId="3" borderId="9" xfId="0" applyFont="1" applyFill="1" applyBorder="1" applyAlignment="1">
      <alignment vertical="center"/>
    </xf>
    <xf numFmtId="0" fontId="1" fillId="3" borderId="16" xfId="0" applyFont="1" applyFill="1" applyBorder="1" applyAlignment="1">
      <alignment vertical="center"/>
    </xf>
    <xf numFmtId="0" fontId="6" fillId="3" borderId="9" xfId="1" applyFont="1" applyFill="1" applyBorder="1">
      <alignment vertical="center"/>
    </xf>
    <xf numFmtId="0" fontId="9" fillId="3" borderId="9" xfId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7" fillId="3" borderId="20" xfId="1" applyFont="1" applyFill="1" applyBorder="1">
      <alignment vertical="center"/>
    </xf>
    <xf numFmtId="0" fontId="10" fillId="3" borderId="9" xfId="1" applyFont="1" applyFill="1" applyBorder="1" applyAlignment="1">
      <alignment horizontal="center" vertical="center"/>
    </xf>
    <xf numFmtId="0" fontId="8" fillId="3" borderId="9" xfId="0" applyFont="1" applyFill="1" applyBorder="1" applyAlignment="1">
      <alignment vertical="center"/>
    </xf>
    <xf numFmtId="0" fontId="8" fillId="3" borderId="9" xfId="0" applyFont="1" applyFill="1" applyBorder="1" applyAlignment="1">
      <alignment horizontal="center" vertical="center"/>
    </xf>
    <xf numFmtId="0" fontId="6" fillId="3" borderId="20" xfId="1" applyFont="1" applyFill="1" applyBorder="1">
      <alignment vertical="center"/>
    </xf>
    <xf numFmtId="0" fontId="4" fillId="3" borderId="19" xfId="1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11" fillId="0" borderId="9" xfId="1" applyFont="1" applyBorder="1">
      <alignment vertical="center"/>
    </xf>
    <xf numFmtId="0" fontId="10" fillId="0" borderId="9" xfId="1" applyFont="1" applyBorder="1">
      <alignment vertical="center"/>
    </xf>
    <xf numFmtId="0" fontId="3" fillId="0" borderId="10" xfId="1" applyFont="1" applyBorder="1" applyAlignment="1">
      <alignment horizontal="center" vertical="center"/>
    </xf>
    <xf numFmtId="0" fontId="3" fillId="0" borderId="16" xfId="1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0" fontId="3" fillId="0" borderId="16" xfId="1" applyFont="1" applyBorder="1">
      <alignment vertical="center"/>
    </xf>
    <xf numFmtId="0" fontId="9" fillId="3" borderId="9" xfId="1" applyFont="1" applyFill="1" applyBorder="1">
      <alignment vertical="center"/>
    </xf>
    <xf numFmtId="0" fontId="8" fillId="3" borderId="16" xfId="1" applyFont="1" applyFill="1" applyBorder="1">
      <alignment vertical="center"/>
    </xf>
    <xf numFmtId="0" fontId="1" fillId="0" borderId="19" xfId="0" applyFont="1" applyBorder="1" applyAlignment="1">
      <alignment horizontal="center" vertical="center"/>
    </xf>
    <xf numFmtId="0" fontId="6" fillId="5" borderId="17" xfId="0" applyFont="1" applyFill="1" applyBorder="1" applyAlignment="1">
      <alignment horizontal="center" vertical="center"/>
    </xf>
    <xf numFmtId="0" fontId="6" fillId="5" borderId="14" xfId="0" applyFont="1" applyFill="1" applyBorder="1" applyAlignment="1">
      <alignment horizontal="center" vertical="center"/>
    </xf>
    <xf numFmtId="0" fontId="6" fillId="5" borderId="18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8" fillId="0" borderId="9" xfId="1" applyFont="1" applyBorder="1">
      <alignment vertical="center"/>
    </xf>
    <xf numFmtId="0" fontId="6" fillId="0" borderId="9" xfId="1" applyFont="1" applyBorder="1">
      <alignment vertical="center"/>
    </xf>
    <xf numFmtId="0" fontId="3" fillId="0" borderId="16" xfId="0" applyFont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8" fillId="0" borderId="16" xfId="1" applyFont="1" applyBorder="1">
      <alignment vertical="center"/>
    </xf>
    <xf numFmtId="0" fontId="1" fillId="0" borderId="20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1" fillId="3" borderId="20" xfId="1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9" xfId="1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6" fillId="4" borderId="21" xfId="0" applyFont="1" applyFill="1" applyBorder="1" applyAlignment="1">
      <alignment vertical="center"/>
    </xf>
    <xf numFmtId="0" fontId="1" fillId="3" borderId="16" xfId="1" applyFont="1" applyFill="1" applyBorder="1" applyAlignment="1">
      <alignment horizontal="center" vertical="center"/>
    </xf>
    <xf numFmtId="0" fontId="7" fillId="6" borderId="20" xfId="0" applyFont="1" applyFill="1" applyBorder="1" applyAlignment="1">
      <alignment vertical="center"/>
    </xf>
    <xf numFmtId="0" fontId="7" fillId="6" borderId="9" xfId="0" applyFont="1" applyFill="1" applyBorder="1" applyAlignment="1">
      <alignment vertical="center"/>
    </xf>
    <xf numFmtId="0" fontId="6" fillId="6" borderId="20" xfId="1" applyFont="1" applyFill="1" applyBorder="1">
      <alignment vertical="center"/>
    </xf>
    <xf numFmtId="0" fontId="6" fillId="6" borderId="9" xfId="1" applyFont="1" applyFill="1" applyBorder="1">
      <alignment vertical="center"/>
    </xf>
    <xf numFmtId="0" fontId="8" fillId="3" borderId="1" xfId="0" applyFont="1" applyFill="1" applyBorder="1" applyAlignment="1">
      <alignment horizontal="right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right" vertical="center"/>
    </xf>
    <xf numFmtId="0" fontId="8" fillId="0" borderId="4" xfId="0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right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6" fillId="3" borderId="4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right" vertical="center"/>
    </xf>
    <xf numFmtId="0" fontId="8" fillId="0" borderId="1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7" fillId="3" borderId="10" xfId="0" applyFont="1" applyFill="1" applyBorder="1" applyAlignment="1">
      <alignment horizontal="left" vertical="center"/>
    </xf>
    <xf numFmtId="0" fontId="7" fillId="3" borderId="11" xfId="0" applyFont="1" applyFill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8" fillId="0" borderId="11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6" fillId="3" borderId="10" xfId="0" applyFont="1" applyFill="1" applyBorder="1" applyAlignment="1">
      <alignment horizontal="right" vertical="center"/>
    </xf>
    <xf numFmtId="0" fontId="6" fillId="3" borderId="11" xfId="0" applyFont="1" applyFill="1" applyBorder="1" applyAlignment="1">
      <alignment horizontal="right" vertical="center"/>
    </xf>
    <xf numFmtId="0" fontId="2" fillId="0" borderId="20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/>
    </xf>
    <xf numFmtId="0" fontId="6" fillId="4" borderId="18" xfId="0" applyFont="1" applyFill="1" applyBorder="1" applyAlignment="1">
      <alignment horizontal="left" vertical="center"/>
    </xf>
    <xf numFmtId="0" fontId="7" fillId="3" borderId="20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6" fillId="2" borderId="13" xfId="0" applyFont="1" applyFill="1" applyBorder="1" applyAlignment="1">
      <alignment horizontal="right" vertical="center"/>
    </xf>
    <xf numFmtId="0" fontId="6" fillId="2" borderId="22" xfId="0" applyFont="1" applyFill="1" applyBorder="1" applyAlignment="1">
      <alignment horizontal="righ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6" fillId="3" borderId="9" xfId="0" applyFont="1" applyFill="1" applyBorder="1" applyAlignment="1">
      <alignment horizontal="left" vertical="center"/>
    </xf>
    <xf numFmtId="0" fontId="2" fillId="0" borderId="16" xfId="0" applyFont="1" applyBorder="1" applyAlignment="1">
      <alignment horizontal="center" vertical="center"/>
    </xf>
    <xf numFmtId="0" fontId="6" fillId="4" borderId="24" xfId="0" applyFont="1" applyFill="1" applyBorder="1" applyAlignment="1">
      <alignment horizontal="left" vertical="center"/>
    </xf>
    <xf numFmtId="0" fontId="6" fillId="4" borderId="25" xfId="0" applyFont="1" applyFill="1" applyBorder="1" applyAlignment="1">
      <alignment horizontal="left" vertical="center"/>
    </xf>
    <xf numFmtId="0" fontId="7" fillId="3" borderId="9" xfId="0" applyFont="1" applyFill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7" fillId="3" borderId="6" xfId="0" applyFont="1" applyFill="1" applyBorder="1" applyAlignment="1">
      <alignment horizontal="left" vertical="center"/>
    </xf>
    <xf numFmtId="0" fontId="7" fillId="3" borderId="8" xfId="0" applyFont="1" applyFill="1" applyBorder="1" applyAlignment="1">
      <alignment horizontal="left" vertical="center"/>
    </xf>
    <xf numFmtId="0" fontId="8" fillId="3" borderId="10" xfId="0" applyFont="1" applyFill="1" applyBorder="1" applyAlignment="1">
      <alignment horizontal="left" vertical="center"/>
    </xf>
    <xf numFmtId="0" fontId="8" fillId="3" borderId="11" xfId="0" applyFont="1" applyFill="1" applyBorder="1" applyAlignment="1">
      <alignment horizontal="left" vertical="center"/>
    </xf>
    <xf numFmtId="0" fontId="6" fillId="4" borderId="13" xfId="0" applyFont="1" applyFill="1" applyBorder="1" applyAlignment="1">
      <alignment horizontal="left" vertical="center"/>
    </xf>
    <xf numFmtId="0" fontId="6" fillId="4" borderId="15" xfId="0" applyFont="1" applyFill="1" applyBorder="1" applyAlignment="1">
      <alignment horizontal="left" vertical="center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6" fillId="3" borderId="23" xfId="0" applyFont="1" applyFill="1" applyBorder="1" applyAlignment="1">
      <alignment horizontal="right" vertical="center"/>
    </xf>
  </cellXfs>
  <cellStyles count="2">
    <cellStyle name="Normal" xfId="0" builtinId="0"/>
    <cellStyle name="Normal 2" xfId="1" xr:uid="{00000000-0005-0000-0000-000031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6"/>
  <sheetViews>
    <sheetView tabSelected="1" topLeftCell="A478" zoomScale="98" zoomScaleNormal="85" workbookViewId="0">
      <selection activeCell="A22" sqref="A22:B22"/>
    </sheetView>
  </sheetViews>
  <sheetFormatPr defaultColWidth="9" defaultRowHeight="19.95" customHeight="1"/>
  <cols>
    <col min="1" max="1" width="47.88671875" style="1" customWidth="1"/>
    <col min="2" max="2" width="7.6640625" style="1" customWidth="1"/>
    <col min="3" max="6" width="11.6640625" style="1" customWidth="1"/>
    <col min="7" max="16098" width="9.109375" style="1"/>
    <col min="16099" max="16384" width="9" style="1"/>
  </cols>
  <sheetData>
    <row r="1" spans="1:6" ht="19.95" customHeight="1">
      <c r="A1" s="2"/>
      <c r="B1" s="3"/>
      <c r="C1" s="3"/>
      <c r="D1" s="3"/>
      <c r="E1" s="3"/>
      <c r="F1" s="4"/>
    </row>
    <row r="2" spans="1:6" ht="19.95" customHeight="1">
      <c r="A2" s="59" t="s">
        <v>12</v>
      </c>
      <c r="B2" s="6"/>
      <c r="C2" s="6"/>
      <c r="D2" s="6"/>
      <c r="E2" s="7" t="s">
        <v>0</v>
      </c>
      <c r="F2" s="58" t="s">
        <v>14</v>
      </c>
    </row>
    <row r="3" spans="1:6" ht="19.95" customHeight="1">
      <c r="A3" s="5"/>
      <c r="B3" s="6"/>
      <c r="C3" s="6"/>
      <c r="D3" s="6"/>
      <c r="E3" s="6"/>
      <c r="F3" s="9"/>
    </row>
    <row r="4" spans="1:6" ht="19.95" customHeight="1">
      <c r="A4" s="59" t="s">
        <v>15</v>
      </c>
      <c r="B4" s="6"/>
      <c r="C4" s="6"/>
      <c r="D4" s="6"/>
      <c r="E4" s="6"/>
      <c r="F4" s="9"/>
    </row>
    <row r="5" spans="1:6" ht="19.95" customHeight="1">
      <c r="A5" s="10"/>
      <c r="B5" s="11"/>
      <c r="C5" s="11"/>
      <c r="D5" s="11"/>
      <c r="E5" s="11"/>
      <c r="F5" s="12"/>
    </row>
    <row r="6" spans="1:6" ht="19.95" customHeight="1" thickBot="1">
      <c r="A6" s="190" t="s">
        <v>1</v>
      </c>
      <c r="B6" s="190"/>
      <c r="C6" s="72" t="s">
        <v>2</v>
      </c>
      <c r="D6" s="190" t="s">
        <v>3</v>
      </c>
      <c r="E6" s="190"/>
      <c r="F6" s="190"/>
    </row>
    <row r="7" spans="1:6" ht="19.95" customHeight="1" thickBot="1">
      <c r="A7" s="180" t="s">
        <v>81</v>
      </c>
      <c r="B7" s="181"/>
      <c r="C7" s="87"/>
      <c r="D7" s="86"/>
      <c r="E7" s="87"/>
      <c r="F7" s="88"/>
    </row>
    <row r="8" spans="1:6" ht="19.95" customHeight="1">
      <c r="A8" s="182" t="s">
        <v>74</v>
      </c>
      <c r="B8" s="182"/>
      <c r="C8" s="86"/>
      <c r="D8" s="86"/>
      <c r="E8" s="87">
        <f>SUM(E62+E77+E90+E97)</f>
        <v>31.908624999999997</v>
      </c>
      <c r="F8" s="88"/>
    </row>
    <row r="9" spans="1:6" ht="19.95" customHeight="1">
      <c r="A9" s="193" t="s">
        <v>77</v>
      </c>
      <c r="B9" s="193"/>
      <c r="C9" s="86"/>
      <c r="D9" s="86"/>
      <c r="E9" s="87">
        <f>SUM(E140+E153+E166+E173)</f>
        <v>32.086350000000003</v>
      </c>
      <c r="F9" s="88"/>
    </row>
    <row r="10" spans="1:6" ht="19.95" customHeight="1">
      <c r="A10" s="193" t="s">
        <v>76</v>
      </c>
      <c r="B10" s="193"/>
      <c r="C10" s="86"/>
      <c r="D10" s="135"/>
      <c r="E10" s="89">
        <f>SUM(E216+E229+E242+E249)</f>
        <v>31.995639999999991</v>
      </c>
      <c r="F10" s="90"/>
    </row>
    <row r="11" spans="1:6" ht="19.95" customHeight="1">
      <c r="A11" s="193" t="s">
        <v>75</v>
      </c>
      <c r="B11" s="193"/>
      <c r="C11" s="86"/>
      <c r="D11" s="93"/>
      <c r="E11" s="147">
        <f>SUM(E292+E305+E318+E325)</f>
        <v>31.825229999999998</v>
      </c>
      <c r="F11" s="95"/>
    </row>
    <row r="12" spans="1:6" ht="19.95" customHeight="1" thickBot="1">
      <c r="A12" s="193" t="s">
        <v>83</v>
      </c>
      <c r="B12" s="193"/>
      <c r="C12" s="86"/>
      <c r="D12" s="155"/>
      <c r="E12" s="156">
        <f>SUM(E331)</f>
        <v>0.53649999999999998</v>
      </c>
      <c r="F12" s="157"/>
    </row>
    <row r="13" spans="1:6" ht="19.95" customHeight="1" thickBot="1">
      <c r="A13" s="189"/>
      <c r="B13" s="189"/>
      <c r="C13" s="86"/>
      <c r="D13" s="77" t="s">
        <v>13</v>
      </c>
      <c r="E13" s="78">
        <f>SUM(E8:E12)</f>
        <v>128.35234499999999</v>
      </c>
      <c r="F13" s="79" t="s">
        <v>4</v>
      </c>
    </row>
    <row r="14" spans="1:6" ht="19.95" customHeight="1" thickBot="1">
      <c r="A14" s="194"/>
      <c r="B14" s="195"/>
      <c r="C14" s="91"/>
      <c r="D14" s="140" t="s">
        <v>78</v>
      </c>
      <c r="E14" s="141">
        <v>21</v>
      </c>
      <c r="F14" s="8"/>
    </row>
    <row r="15" spans="1:6" ht="19.95" customHeight="1" thickBot="1">
      <c r="A15" s="196"/>
      <c r="B15" s="197"/>
      <c r="C15" s="15"/>
      <c r="D15" s="77" t="s">
        <v>13</v>
      </c>
      <c r="E15" s="78">
        <f>E14*E13</f>
        <v>2695.3992449999996</v>
      </c>
      <c r="F15" s="79" t="s">
        <v>4</v>
      </c>
    </row>
    <row r="16" spans="1:6" ht="19.95" customHeight="1">
      <c r="A16" s="169"/>
      <c r="B16" s="170"/>
      <c r="C16" s="14"/>
      <c r="D16" s="139"/>
      <c r="E16" s="47"/>
      <c r="F16" s="48"/>
    </row>
    <row r="17" spans="1:9" ht="19.95" customHeight="1">
      <c r="A17" s="189" t="s">
        <v>82</v>
      </c>
      <c r="B17" s="189"/>
      <c r="C17" s="14"/>
      <c r="D17" s="15"/>
      <c r="E17" s="16">
        <f>SUM(E334+E335)</f>
        <v>0.67664999999999997</v>
      </c>
      <c r="F17" s="17"/>
    </row>
    <row r="18" spans="1:9" ht="19.95" customHeight="1" thickBot="1">
      <c r="A18" s="169"/>
      <c r="B18" s="170"/>
      <c r="C18" s="14"/>
      <c r="D18" s="142" t="s">
        <v>78</v>
      </c>
      <c r="E18" s="45">
        <v>22</v>
      </c>
      <c r="F18" s="21"/>
    </row>
    <row r="19" spans="1:9" ht="19.95" customHeight="1" thickBot="1">
      <c r="A19" s="169"/>
      <c r="B19" s="170"/>
      <c r="C19" s="15"/>
      <c r="D19" s="77" t="s">
        <v>13</v>
      </c>
      <c r="E19" s="78">
        <f>E18*E17</f>
        <v>14.886299999999999</v>
      </c>
      <c r="F19" s="79" t="s">
        <v>4</v>
      </c>
    </row>
    <row r="20" spans="1:9" ht="19.95" customHeight="1">
      <c r="A20" s="169"/>
      <c r="B20" s="170"/>
      <c r="C20" s="15"/>
      <c r="D20" s="143"/>
      <c r="E20" s="144"/>
      <c r="F20" s="145"/>
    </row>
    <row r="21" spans="1:9" ht="19.95" customHeight="1">
      <c r="A21" s="189" t="s">
        <v>85</v>
      </c>
      <c r="B21" s="189"/>
      <c r="C21" s="14"/>
      <c r="D21" s="46"/>
      <c r="E21" s="47">
        <f>SUM(E336+E337)</f>
        <v>0.34379999999999999</v>
      </c>
      <c r="F21" s="48"/>
    </row>
    <row r="22" spans="1:9" ht="19.95" customHeight="1" thickBot="1">
      <c r="A22" s="169"/>
      <c r="B22" s="170"/>
      <c r="C22" s="14"/>
      <c r="D22" s="142" t="s">
        <v>78</v>
      </c>
      <c r="E22" s="45">
        <v>11</v>
      </c>
      <c r="F22" s="21"/>
      <c r="I22" s="60"/>
    </row>
    <row r="23" spans="1:9" ht="19.95" customHeight="1" thickBot="1">
      <c r="A23" s="169"/>
      <c r="B23" s="170"/>
      <c r="C23" s="15"/>
      <c r="D23" s="77" t="s">
        <v>13</v>
      </c>
      <c r="E23" s="78">
        <f>E22*E21</f>
        <v>3.7818000000000001</v>
      </c>
      <c r="F23" s="79" t="s">
        <v>4</v>
      </c>
    </row>
    <row r="24" spans="1:9" ht="19.95" customHeight="1" thickBot="1">
      <c r="A24" s="183"/>
      <c r="B24" s="184"/>
      <c r="C24" s="107"/>
      <c r="D24" s="49"/>
      <c r="E24" s="141"/>
      <c r="F24" s="8"/>
    </row>
    <row r="25" spans="1:9" ht="19.95" customHeight="1" thickBot="1">
      <c r="A25" s="185" t="s">
        <v>84</v>
      </c>
      <c r="B25" s="186"/>
      <c r="C25" s="146"/>
      <c r="D25" s="78" t="s">
        <v>13</v>
      </c>
      <c r="E25" s="78">
        <f>E23+E19+E15</f>
        <v>2714.0673449999995</v>
      </c>
      <c r="F25" s="79" t="s">
        <v>4</v>
      </c>
    </row>
    <row r="26" spans="1:9" ht="19.95" customHeight="1" thickBot="1">
      <c r="A26" s="187"/>
      <c r="B26" s="188"/>
      <c r="C26" s="91"/>
      <c r="D26" s="140"/>
      <c r="E26" s="141"/>
      <c r="F26" s="8"/>
    </row>
    <row r="27" spans="1:9" ht="19.95" customHeight="1" thickBot="1">
      <c r="A27" s="180" t="s">
        <v>80</v>
      </c>
      <c r="B27" s="181"/>
      <c r="C27" s="16"/>
      <c r="D27" s="93"/>
      <c r="E27" s="94"/>
      <c r="F27" s="95"/>
    </row>
    <row r="28" spans="1:9" ht="19.95" customHeight="1">
      <c r="A28" s="182" t="s">
        <v>74</v>
      </c>
      <c r="B28" s="182"/>
      <c r="C28" s="14"/>
      <c r="D28" s="46"/>
      <c r="E28" s="47">
        <f>SUM(E357)</f>
        <v>2.4989100000000004</v>
      </c>
      <c r="F28" s="48"/>
    </row>
    <row r="29" spans="1:9" ht="19.95" customHeight="1">
      <c r="A29" s="165" t="s">
        <v>77</v>
      </c>
      <c r="B29" s="166"/>
      <c r="C29" s="14"/>
      <c r="D29" s="44"/>
      <c r="E29" s="45">
        <f>SUM(E366)</f>
        <v>2.4700100000000003</v>
      </c>
      <c r="F29" s="21"/>
    </row>
    <row r="30" spans="1:9" ht="19.95" customHeight="1">
      <c r="A30" s="165" t="s">
        <v>76</v>
      </c>
      <c r="B30" s="166"/>
      <c r="C30" s="15"/>
      <c r="D30" s="142"/>
      <c r="E30" s="147">
        <f>SUM(E375)</f>
        <v>2.5016100000000003</v>
      </c>
      <c r="F30" s="51"/>
    </row>
    <row r="31" spans="1:9" ht="19.95" customHeight="1" thickBot="1">
      <c r="A31" s="165" t="s">
        <v>75</v>
      </c>
      <c r="B31" s="166"/>
      <c r="C31" s="14"/>
      <c r="D31" s="142"/>
      <c r="E31" s="148">
        <f>SUM(E395)</f>
        <v>2.49431</v>
      </c>
      <c r="F31" s="8"/>
    </row>
    <row r="32" spans="1:9" ht="19.95" customHeight="1" thickBot="1">
      <c r="A32" s="169"/>
      <c r="B32" s="170"/>
      <c r="C32" s="15"/>
      <c r="D32" s="77" t="s">
        <v>13</v>
      </c>
      <c r="E32" s="149">
        <f>SUM(E28:E31)</f>
        <v>9.9648400000000006</v>
      </c>
      <c r="F32" s="79" t="s">
        <v>4</v>
      </c>
    </row>
    <row r="33" spans="1:12" ht="19.95" customHeight="1" thickBot="1">
      <c r="A33" s="167"/>
      <c r="B33" s="168"/>
      <c r="C33" s="14"/>
      <c r="D33" s="140" t="s">
        <v>78</v>
      </c>
      <c r="E33" s="141">
        <v>21</v>
      </c>
      <c r="F33" s="8"/>
    </row>
    <row r="34" spans="1:12" ht="19.95" customHeight="1" thickBot="1">
      <c r="A34" s="163"/>
      <c r="B34" s="164"/>
      <c r="C34" s="15"/>
      <c r="D34" s="77" t="s">
        <v>13</v>
      </c>
      <c r="E34" s="78">
        <f>E33*E32</f>
        <v>209.26164</v>
      </c>
      <c r="F34" s="79" t="s">
        <v>4</v>
      </c>
    </row>
    <row r="35" spans="1:12" ht="19.95" customHeight="1">
      <c r="A35" s="163"/>
      <c r="B35" s="164"/>
      <c r="C35" s="15"/>
      <c r="D35" s="136"/>
      <c r="E35" s="137"/>
      <c r="F35" s="138"/>
    </row>
    <row r="36" spans="1:12" ht="19.95" customHeight="1">
      <c r="A36" s="163"/>
      <c r="B36" s="164"/>
      <c r="C36" s="107"/>
      <c r="D36" s="49"/>
      <c r="E36" s="141"/>
      <c r="F36" s="8"/>
    </row>
    <row r="37" spans="1:12" ht="19.95" customHeight="1">
      <c r="A37" s="177"/>
      <c r="B37" s="178"/>
      <c r="C37" s="85"/>
      <c r="D37" s="93"/>
      <c r="E37" s="94"/>
      <c r="F37" s="95"/>
    </row>
    <row r="38" spans="1:12" ht="19.95" customHeight="1">
      <c r="A38" s="179" t="s">
        <v>5</v>
      </c>
      <c r="B38" s="179"/>
      <c r="C38" s="179"/>
      <c r="D38" s="179"/>
      <c r="E38" s="179"/>
      <c r="F38" s="179"/>
    </row>
    <row r="39" spans="1:12" ht="18.75" customHeight="1">
      <c r="A39" s="18"/>
      <c r="B39" s="19"/>
      <c r="C39" s="19"/>
      <c r="D39" s="19"/>
      <c r="E39" s="20"/>
      <c r="F39" s="21"/>
    </row>
    <row r="40" spans="1:12" ht="18.75" customHeight="1">
      <c r="A40" s="59" t="s">
        <v>12</v>
      </c>
      <c r="E40" s="7" t="s">
        <v>0</v>
      </c>
      <c r="F40" s="8">
        <v>1</v>
      </c>
    </row>
    <row r="41" spans="1:12" ht="18.75" customHeight="1">
      <c r="A41" s="59" t="s">
        <v>43</v>
      </c>
      <c r="F41" s="22"/>
    </row>
    <row r="42" spans="1:12" ht="18.75" customHeight="1">
      <c r="A42" s="23"/>
      <c r="B42" s="24"/>
      <c r="C42" s="24"/>
      <c r="D42" s="24"/>
      <c r="E42" s="24"/>
      <c r="F42" s="25"/>
    </row>
    <row r="43" spans="1:12" ht="18.75" customHeight="1" thickBot="1">
      <c r="A43" s="72" t="s">
        <v>6</v>
      </c>
      <c r="B43" s="72" t="s">
        <v>7</v>
      </c>
      <c r="C43" s="72" t="s">
        <v>8</v>
      </c>
      <c r="D43" s="72" t="s">
        <v>9</v>
      </c>
      <c r="E43" s="72" t="s">
        <v>10</v>
      </c>
      <c r="F43" s="72" t="s">
        <v>11</v>
      </c>
      <c r="L43" s="154"/>
    </row>
    <row r="44" spans="1:12" ht="18.75" customHeight="1" thickBot="1">
      <c r="A44" s="73" t="s">
        <v>16</v>
      </c>
      <c r="B44" s="80"/>
      <c r="C44" s="81"/>
      <c r="D44" s="81"/>
      <c r="E44" s="81"/>
      <c r="F44" s="53"/>
    </row>
    <row r="45" spans="1:12" ht="18.75" customHeight="1">
      <c r="A45" s="96" t="s">
        <v>17</v>
      </c>
      <c r="B45" s="52"/>
      <c r="C45" s="52"/>
      <c r="D45" s="52"/>
      <c r="E45" s="52"/>
      <c r="F45" s="53"/>
    </row>
    <row r="46" spans="1:12" ht="18.75" customHeight="1">
      <c r="A46" s="62" t="s">
        <v>18</v>
      </c>
      <c r="B46" s="52">
        <v>2</v>
      </c>
      <c r="C46" s="52">
        <v>1.7949999999999999</v>
      </c>
      <c r="D46" s="52">
        <v>2.645</v>
      </c>
      <c r="E46" s="52">
        <f>D46*C46*B46</f>
        <v>9.4955499999999997</v>
      </c>
      <c r="F46" s="52"/>
    </row>
    <row r="47" spans="1:12" ht="18.75" customHeight="1">
      <c r="A47" s="62" t="s">
        <v>19</v>
      </c>
      <c r="B47" s="52">
        <v>2</v>
      </c>
      <c r="C47" s="52">
        <v>0.23</v>
      </c>
      <c r="D47" s="52">
        <v>0.5</v>
      </c>
      <c r="E47" s="52"/>
      <c r="F47" s="52">
        <f>D47*C47*B47</f>
        <v>0.23</v>
      </c>
    </row>
    <row r="48" spans="1:12" ht="18.75" customHeight="1">
      <c r="A48" s="62" t="s">
        <v>20</v>
      </c>
      <c r="B48" s="52">
        <v>2</v>
      </c>
      <c r="C48" s="52">
        <v>0.2</v>
      </c>
      <c r="D48" s="97">
        <v>0.2</v>
      </c>
      <c r="E48" s="84"/>
      <c r="F48" s="52">
        <f>D48*C48*B48</f>
        <v>8.0000000000000016E-2</v>
      </c>
    </row>
    <row r="49" spans="1:6" ht="18.75" customHeight="1">
      <c r="A49" s="98" t="s">
        <v>21</v>
      </c>
      <c r="B49" s="57">
        <v>1</v>
      </c>
      <c r="C49" s="57">
        <v>4.4999999999999998E-2</v>
      </c>
      <c r="D49" s="57">
        <v>1.5649999999999999</v>
      </c>
      <c r="E49" s="57">
        <f>D49*C49*B49</f>
        <v>7.0425000000000001E-2</v>
      </c>
      <c r="F49" s="57"/>
    </row>
    <row r="50" spans="1:6" ht="18.75" customHeight="1">
      <c r="A50" s="98" t="s">
        <v>22</v>
      </c>
      <c r="B50" s="57">
        <v>1</v>
      </c>
      <c r="C50" s="57">
        <v>2.9049999999999998</v>
      </c>
      <c r="D50" s="97">
        <v>2.645</v>
      </c>
      <c r="E50" s="99">
        <f>D50*C50*B50</f>
        <v>7.6837249999999999</v>
      </c>
      <c r="F50" s="85"/>
    </row>
    <row r="51" spans="1:6" ht="18.75" customHeight="1">
      <c r="A51" s="62" t="s">
        <v>23</v>
      </c>
      <c r="B51" s="57">
        <v>1</v>
      </c>
      <c r="C51" s="57">
        <v>1.94</v>
      </c>
      <c r="D51" s="57">
        <v>2.14</v>
      </c>
      <c r="E51" s="57"/>
      <c r="F51" s="57">
        <f>D51*C51*B51</f>
        <v>4.1516000000000002</v>
      </c>
    </row>
    <row r="52" spans="1:6" ht="18.75" customHeight="1">
      <c r="A52" s="62" t="s">
        <v>24</v>
      </c>
      <c r="B52" s="52">
        <v>1</v>
      </c>
      <c r="C52" s="52">
        <v>4.4999999999999998E-2</v>
      </c>
      <c r="D52" s="52">
        <v>0.49</v>
      </c>
      <c r="E52" s="52"/>
      <c r="F52" s="52">
        <f>D52*C52*B52</f>
        <v>2.205E-2</v>
      </c>
    </row>
    <row r="53" spans="1:6" ht="18.75" customHeight="1">
      <c r="A53" s="62" t="s">
        <v>25</v>
      </c>
      <c r="B53" s="52">
        <v>2</v>
      </c>
      <c r="C53" s="52">
        <v>4.4999999999999998E-2</v>
      </c>
      <c r="D53" s="52">
        <v>2.14</v>
      </c>
      <c r="E53" s="52">
        <f t="shared" ref="E53:E59" si="0">D53*C53*B53</f>
        <v>0.19259999999999999</v>
      </c>
      <c r="F53" s="52"/>
    </row>
    <row r="54" spans="1:6" ht="18.75" customHeight="1">
      <c r="A54" s="111" t="s">
        <v>26</v>
      </c>
      <c r="B54" s="56">
        <v>1</v>
      </c>
      <c r="C54" s="56">
        <v>4.4999999999999998E-2</v>
      </c>
      <c r="D54" s="56">
        <v>1.94</v>
      </c>
      <c r="E54" s="56">
        <f t="shared" si="0"/>
        <v>8.7299999999999989E-2</v>
      </c>
      <c r="F54" s="56"/>
    </row>
    <row r="55" spans="1:6" ht="18.75" customHeight="1">
      <c r="A55" s="62" t="s">
        <v>38</v>
      </c>
      <c r="B55" s="52">
        <v>1</v>
      </c>
      <c r="C55" s="52">
        <v>2.9</v>
      </c>
      <c r="D55" s="97">
        <v>0.5</v>
      </c>
      <c r="E55" s="97">
        <f t="shared" si="0"/>
        <v>1.45</v>
      </c>
      <c r="F55" s="84"/>
    </row>
    <row r="56" spans="1:6" ht="18.75" customHeight="1">
      <c r="A56" s="62" t="s">
        <v>39</v>
      </c>
      <c r="B56" s="52">
        <v>1</v>
      </c>
      <c r="C56" s="52">
        <v>0.185</v>
      </c>
      <c r="D56" s="52">
        <v>2.9</v>
      </c>
      <c r="E56" s="52">
        <f t="shared" si="0"/>
        <v>0.53649999999999998</v>
      </c>
      <c r="F56" s="52"/>
    </row>
    <row r="57" spans="1:6" ht="18.75" customHeight="1">
      <c r="A57" s="62" t="s">
        <v>40</v>
      </c>
      <c r="B57" s="52">
        <v>1</v>
      </c>
      <c r="C57" s="52">
        <v>5.5E-2</v>
      </c>
      <c r="D57" s="97">
        <v>2.9</v>
      </c>
      <c r="E57" s="97">
        <f t="shared" si="0"/>
        <v>0.1595</v>
      </c>
      <c r="F57" s="84"/>
    </row>
    <row r="58" spans="1:6" ht="18.75" customHeight="1">
      <c r="A58" s="62" t="s">
        <v>41</v>
      </c>
      <c r="B58" s="52">
        <v>1</v>
      </c>
      <c r="C58" s="52">
        <v>2.9</v>
      </c>
      <c r="D58" s="97">
        <v>0.2</v>
      </c>
      <c r="E58" s="97">
        <f t="shared" si="0"/>
        <v>0.57999999999999996</v>
      </c>
      <c r="F58" s="52"/>
    </row>
    <row r="59" spans="1:6" ht="18.75" customHeight="1" thickBot="1">
      <c r="A59" s="62" t="s">
        <v>42</v>
      </c>
      <c r="B59" s="52">
        <v>1</v>
      </c>
      <c r="C59" s="52">
        <v>0.2</v>
      </c>
      <c r="D59" s="56">
        <v>2.9</v>
      </c>
      <c r="E59" s="56">
        <f t="shared" si="0"/>
        <v>0.57999999999999996</v>
      </c>
      <c r="F59" s="74"/>
    </row>
    <row r="60" spans="1:6" ht="18.75" customHeight="1" thickBot="1">
      <c r="A60" s="33"/>
      <c r="B60" s="33"/>
      <c r="C60" s="67"/>
      <c r="D60" s="113" t="s">
        <v>13</v>
      </c>
      <c r="E60" s="114">
        <f>SUM(E46:E59)</f>
        <v>20.835599999999996</v>
      </c>
      <c r="F60" s="115">
        <f>SUM(F46:F59)</f>
        <v>4.4836500000000008</v>
      </c>
    </row>
    <row r="61" spans="1:6" ht="18.75" customHeight="1" thickBot="1">
      <c r="A61" s="33"/>
      <c r="B61" s="33"/>
      <c r="C61" s="33"/>
      <c r="D61" s="112"/>
      <c r="E61" s="112"/>
      <c r="F61" s="112"/>
    </row>
    <row r="62" spans="1:6" ht="18.75" customHeight="1" thickBot="1">
      <c r="A62" s="33"/>
      <c r="B62" s="33"/>
      <c r="C62" s="67"/>
      <c r="D62" s="116" t="s">
        <v>13</v>
      </c>
      <c r="E62" s="69">
        <f>E60-F60</f>
        <v>16.351949999999995</v>
      </c>
      <c r="F62" s="70" t="s">
        <v>4</v>
      </c>
    </row>
    <row r="63" spans="1:6" ht="18.75" customHeight="1">
      <c r="A63" s="33"/>
      <c r="B63" s="33"/>
      <c r="C63" s="33"/>
      <c r="D63" s="63"/>
      <c r="E63" s="63"/>
      <c r="F63" s="63"/>
    </row>
    <row r="64" spans="1:6" ht="18.75" customHeight="1">
      <c r="A64" s="33"/>
      <c r="B64" s="33"/>
      <c r="C64" s="33"/>
      <c r="D64" s="33"/>
      <c r="E64" s="33"/>
      <c r="F64" s="33"/>
    </row>
    <row r="65" spans="1:6" ht="18.75" customHeight="1">
      <c r="A65" s="100" t="s">
        <v>27</v>
      </c>
      <c r="B65" s="75"/>
      <c r="C65" s="75"/>
      <c r="D65" s="75"/>
      <c r="E65" s="75"/>
      <c r="F65" s="75"/>
    </row>
    <row r="66" spans="1:6" ht="18.75" customHeight="1">
      <c r="A66" s="62" t="s">
        <v>18</v>
      </c>
      <c r="B66" s="52">
        <v>2</v>
      </c>
      <c r="C66" s="52">
        <v>1.355</v>
      </c>
      <c r="D66" s="52">
        <v>1.9450000000000001</v>
      </c>
      <c r="E66" s="52">
        <f>D66*C66*B66</f>
        <v>5.27095</v>
      </c>
      <c r="F66" s="52"/>
    </row>
    <row r="67" spans="1:6" ht="18.75" customHeight="1">
      <c r="A67" s="62" t="s">
        <v>19</v>
      </c>
      <c r="B67" s="52">
        <v>2</v>
      </c>
      <c r="C67" s="52">
        <v>0.25</v>
      </c>
      <c r="D67" s="52">
        <v>0.5</v>
      </c>
      <c r="E67" s="52"/>
      <c r="F67" s="52">
        <f>D67*C67*B67</f>
        <v>0.25</v>
      </c>
    </row>
    <row r="68" spans="1:6" ht="18.75" customHeight="1">
      <c r="A68" s="98" t="s">
        <v>22</v>
      </c>
      <c r="B68" s="52">
        <v>1</v>
      </c>
      <c r="C68" s="52">
        <v>2.4550000000000001</v>
      </c>
      <c r="D68" s="97">
        <v>1.9450000000000001</v>
      </c>
      <c r="E68" s="97">
        <f>D68*C68*B68</f>
        <v>4.7749750000000004</v>
      </c>
      <c r="F68" s="84"/>
    </row>
    <row r="69" spans="1:6" ht="18.75" customHeight="1">
      <c r="A69" s="62" t="s">
        <v>23</v>
      </c>
      <c r="B69" s="52">
        <v>1</v>
      </c>
      <c r="C69" s="52">
        <v>1.1499999999999999</v>
      </c>
      <c r="D69" s="52">
        <v>1.44</v>
      </c>
      <c r="E69" s="52"/>
      <c r="F69" s="52">
        <f>D69*C69*B69</f>
        <v>1.6559999999999999</v>
      </c>
    </row>
    <row r="70" spans="1:6" ht="18.75" customHeight="1">
      <c r="A70" s="62" t="s">
        <v>25</v>
      </c>
      <c r="B70" s="52">
        <v>2</v>
      </c>
      <c r="C70" s="52">
        <v>0.04</v>
      </c>
      <c r="D70" s="97">
        <v>1.44</v>
      </c>
      <c r="E70" s="97">
        <f>D70*C70*B70</f>
        <v>0.1152</v>
      </c>
      <c r="F70" s="84"/>
    </row>
    <row r="71" spans="1:6" ht="18.75" customHeight="1">
      <c r="A71" s="62" t="s">
        <v>26</v>
      </c>
      <c r="B71" s="52">
        <v>1</v>
      </c>
      <c r="C71" s="52">
        <v>0.04</v>
      </c>
      <c r="D71" s="52">
        <v>1.1399999999999999</v>
      </c>
      <c r="E71" s="52">
        <f>D71*C71*B71</f>
        <v>4.5599999999999995E-2</v>
      </c>
      <c r="F71" s="52"/>
    </row>
    <row r="72" spans="1:6" ht="18.75" customHeight="1">
      <c r="A72" s="61" t="s">
        <v>28</v>
      </c>
      <c r="B72" s="75">
        <v>1</v>
      </c>
      <c r="C72" s="75">
        <v>2.4449999999999998</v>
      </c>
      <c r="D72" s="75">
        <v>0.5</v>
      </c>
      <c r="E72" s="75">
        <f>D72*C72*B72</f>
        <v>1.2224999999999999</v>
      </c>
      <c r="F72" s="75"/>
    </row>
    <row r="73" spans="1:6" ht="18.75" customHeight="1">
      <c r="A73" s="61" t="s">
        <v>29</v>
      </c>
      <c r="B73" s="52">
        <v>1</v>
      </c>
      <c r="C73" s="75">
        <v>2.4449999999999998</v>
      </c>
      <c r="D73" s="52">
        <v>0.2</v>
      </c>
      <c r="E73" s="52">
        <f>D73*C73*B73</f>
        <v>0.48899999999999999</v>
      </c>
      <c r="F73" s="52"/>
    </row>
    <row r="74" spans="1:6" ht="18.75" customHeight="1" thickBot="1">
      <c r="A74" s="62" t="s">
        <v>30</v>
      </c>
      <c r="B74" s="52">
        <v>1</v>
      </c>
      <c r="C74" s="52">
        <v>2.4449999999999998</v>
      </c>
      <c r="D74" s="56">
        <v>0.05</v>
      </c>
      <c r="E74" s="56">
        <f>D74*C74*B74</f>
        <v>0.12225</v>
      </c>
      <c r="F74" s="56"/>
    </row>
    <row r="75" spans="1:6" ht="18.75" customHeight="1" thickBot="1">
      <c r="A75" s="54"/>
      <c r="B75" s="52"/>
      <c r="C75" s="55"/>
      <c r="D75" s="64" t="s">
        <v>13</v>
      </c>
      <c r="E75" s="65">
        <f>SUM(E66:E74)</f>
        <v>12.040475000000001</v>
      </c>
      <c r="F75" s="66">
        <f>SUM(F66:F74)</f>
        <v>1.9059999999999999</v>
      </c>
    </row>
    <row r="76" spans="1:6" ht="18.75" customHeight="1" thickBot="1">
      <c r="A76" s="54"/>
      <c r="B76" s="52"/>
      <c r="C76" s="52"/>
      <c r="D76" s="101"/>
      <c r="E76" s="101"/>
      <c r="F76" s="102"/>
    </row>
    <row r="77" spans="1:6" ht="18.75" customHeight="1" thickBot="1">
      <c r="A77" s="54"/>
      <c r="B77" s="52"/>
      <c r="C77" s="55"/>
      <c r="D77" s="68" t="s">
        <v>13</v>
      </c>
      <c r="E77" s="69">
        <f>E75-F75</f>
        <v>10.134475</v>
      </c>
      <c r="F77" s="76" t="s">
        <v>4</v>
      </c>
    </row>
    <row r="78" spans="1:6" ht="18.75" customHeight="1">
      <c r="A78" s="174" t="s">
        <v>5</v>
      </c>
      <c r="B78" s="175"/>
      <c r="C78" s="175"/>
      <c r="D78" s="175"/>
      <c r="E78" s="175"/>
      <c r="F78" s="176"/>
    </row>
    <row r="79" spans="1:6" ht="19.95" customHeight="1">
      <c r="A79" s="18"/>
      <c r="B79" s="19"/>
      <c r="C79" s="19"/>
      <c r="D79" s="19"/>
      <c r="E79" s="20"/>
      <c r="F79" s="21"/>
    </row>
    <row r="80" spans="1:6" ht="19.95" customHeight="1">
      <c r="A80" s="59" t="s">
        <v>12</v>
      </c>
      <c r="E80" s="7" t="s">
        <v>0</v>
      </c>
      <c r="F80" s="8">
        <v>2</v>
      </c>
    </row>
    <row r="81" spans="1:6" ht="19.95" customHeight="1">
      <c r="A81" s="59" t="s">
        <v>43</v>
      </c>
      <c r="F81" s="22"/>
    </row>
    <row r="82" spans="1:6" ht="19.95" customHeight="1">
      <c r="A82" s="23"/>
      <c r="B82" s="24"/>
      <c r="C82" s="24"/>
      <c r="D82" s="24"/>
      <c r="E82" s="24"/>
      <c r="F82" s="25"/>
    </row>
    <row r="83" spans="1:6" ht="19.95" customHeight="1" thickBot="1">
      <c r="A83" s="13" t="s">
        <v>6</v>
      </c>
      <c r="B83" s="13" t="s">
        <v>7</v>
      </c>
      <c r="C83" s="13" t="s">
        <v>8</v>
      </c>
      <c r="D83" s="13" t="s">
        <v>9</v>
      </c>
      <c r="E83" s="13" t="s">
        <v>10</v>
      </c>
      <c r="F83" s="13" t="s">
        <v>11</v>
      </c>
    </row>
    <row r="84" spans="1:6" ht="19.95" customHeight="1" thickBot="1">
      <c r="A84" s="73" t="s">
        <v>16</v>
      </c>
      <c r="B84" s="26"/>
      <c r="C84" s="26"/>
      <c r="D84" s="26"/>
      <c r="E84" s="26"/>
      <c r="F84" s="27"/>
    </row>
    <row r="85" spans="1:6" ht="19.95" customHeight="1">
      <c r="A85" s="103" t="s">
        <v>31</v>
      </c>
      <c r="B85" s="26"/>
      <c r="C85" s="26"/>
      <c r="D85" s="26"/>
      <c r="E85" s="26"/>
      <c r="F85" s="27"/>
    </row>
    <row r="86" spans="1:6" ht="19.95" customHeight="1">
      <c r="A86" s="104" t="s">
        <v>32</v>
      </c>
      <c r="B86" s="26">
        <v>2</v>
      </c>
      <c r="C86" s="26">
        <v>0.315</v>
      </c>
      <c r="D86" s="26">
        <v>2.25</v>
      </c>
      <c r="E86" s="14">
        <f>D86*C86*B86</f>
        <v>1.4175</v>
      </c>
      <c r="F86" s="26"/>
    </row>
    <row r="87" spans="1:6" ht="19.95" customHeight="1">
      <c r="A87" s="104" t="s">
        <v>33</v>
      </c>
      <c r="B87" s="26">
        <v>1</v>
      </c>
      <c r="C87" s="26">
        <v>0.27</v>
      </c>
      <c r="D87" s="26">
        <v>2.0449999999999999</v>
      </c>
      <c r="E87" s="26">
        <f>D87*C87*B87</f>
        <v>0.55215000000000003</v>
      </c>
      <c r="F87" s="27"/>
    </row>
    <row r="88" spans="1:6" ht="19.95" customHeight="1">
      <c r="A88" s="104" t="s">
        <v>34</v>
      </c>
      <c r="B88" s="26">
        <v>1</v>
      </c>
      <c r="C88" s="26">
        <v>0.05</v>
      </c>
      <c r="D88" s="26">
        <v>2.0449999999999999</v>
      </c>
      <c r="E88" s="14">
        <f>D88*C88*B88</f>
        <v>0.10225000000000001</v>
      </c>
      <c r="F88" s="26"/>
    </row>
    <row r="89" spans="1:6" ht="19.95" customHeight="1" thickBot="1">
      <c r="A89" s="104" t="s">
        <v>35</v>
      </c>
      <c r="B89" s="26">
        <v>1</v>
      </c>
      <c r="C89" s="26">
        <v>0.315</v>
      </c>
      <c r="D89" s="106">
        <v>2.0449999999999999</v>
      </c>
      <c r="E89" s="107">
        <f>D89*C89*B89</f>
        <v>0.64417499999999994</v>
      </c>
      <c r="F89" s="106"/>
    </row>
    <row r="90" spans="1:6" ht="19.95" customHeight="1" thickBot="1">
      <c r="A90" s="32"/>
      <c r="B90" s="26"/>
      <c r="C90" s="105"/>
      <c r="D90" s="68" t="s">
        <v>13</v>
      </c>
      <c r="E90" s="69">
        <f>SUM(E86:E89)</f>
        <v>2.716075</v>
      </c>
      <c r="F90" s="76" t="s">
        <v>4</v>
      </c>
    </row>
    <row r="91" spans="1:6" ht="19.95" customHeight="1">
      <c r="A91" s="109"/>
      <c r="B91" s="26"/>
      <c r="C91" s="26"/>
      <c r="D91" s="29"/>
      <c r="E91" s="91"/>
      <c r="F91" s="29"/>
    </row>
    <row r="92" spans="1:6" ht="19.95" customHeight="1">
      <c r="A92" s="110" t="s">
        <v>36</v>
      </c>
      <c r="B92" s="108"/>
      <c r="C92" s="26"/>
      <c r="D92" s="26"/>
      <c r="E92" s="14"/>
      <c r="F92" s="26"/>
    </row>
    <row r="93" spans="1:6" ht="19.95" customHeight="1">
      <c r="A93" s="104" t="s">
        <v>32</v>
      </c>
      <c r="B93" s="26">
        <v>2</v>
      </c>
      <c r="C93" s="26">
        <v>0.31</v>
      </c>
      <c r="D93" s="26">
        <v>2.2599999999999998</v>
      </c>
      <c r="E93" s="14">
        <f>D93*C93*B93</f>
        <v>1.4011999999999998</v>
      </c>
      <c r="F93" s="26"/>
    </row>
    <row r="94" spans="1:6" ht="19.95" customHeight="1">
      <c r="A94" s="104" t="s">
        <v>33</v>
      </c>
      <c r="B94" s="26">
        <v>1</v>
      </c>
      <c r="C94" s="26">
        <v>0.27</v>
      </c>
      <c r="D94" s="26">
        <v>2.0550000000000002</v>
      </c>
      <c r="E94" s="14">
        <f t="shared" ref="E94:E96" si="1">D94*C94*B94</f>
        <v>0.55485000000000007</v>
      </c>
      <c r="F94" s="26"/>
    </row>
    <row r="95" spans="1:6" ht="19.95" customHeight="1">
      <c r="A95" s="104" t="s">
        <v>34</v>
      </c>
      <c r="B95" s="26">
        <v>1</v>
      </c>
      <c r="C95" s="26">
        <v>5.5E-2</v>
      </c>
      <c r="D95" s="26">
        <v>2.0550000000000002</v>
      </c>
      <c r="E95" s="14">
        <f t="shared" si="1"/>
        <v>0.11302500000000001</v>
      </c>
      <c r="F95" s="26"/>
    </row>
    <row r="96" spans="1:6" ht="19.95" customHeight="1" thickBot="1">
      <c r="A96" s="104" t="s">
        <v>35</v>
      </c>
      <c r="B96" s="26">
        <v>1</v>
      </c>
      <c r="C96" s="26">
        <v>0.31</v>
      </c>
      <c r="D96" s="106">
        <v>2.0550000000000002</v>
      </c>
      <c r="E96" s="107">
        <f t="shared" si="1"/>
        <v>0.63705000000000001</v>
      </c>
      <c r="F96" s="106"/>
    </row>
    <row r="97" spans="1:6" ht="19.95" customHeight="1" thickBot="1">
      <c r="A97" s="32"/>
      <c r="B97" s="26"/>
      <c r="C97" s="26"/>
      <c r="D97" s="68" t="s">
        <v>13</v>
      </c>
      <c r="E97" s="69">
        <f>SUM(E93:E96)</f>
        <v>2.7061249999999997</v>
      </c>
      <c r="F97" s="76" t="s">
        <v>4</v>
      </c>
    </row>
    <row r="98" spans="1:6" ht="19.95" customHeight="1">
      <c r="A98" s="32"/>
      <c r="B98" s="26"/>
      <c r="C98" s="26"/>
      <c r="D98" s="29"/>
      <c r="E98" s="91"/>
      <c r="F98" s="29"/>
    </row>
    <row r="99" spans="1:6" ht="19.95" customHeight="1">
      <c r="A99" s="32"/>
      <c r="B99" s="26"/>
      <c r="C99" s="26"/>
      <c r="D99" s="26"/>
      <c r="E99" s="14"/>
      <c r="F99" s="26"/>
    </row>
    <row r="100" spans="1:6" ht="19.95" customHeight="1">
      <c r="A100" s="32"/>
      <c r="B100" s="26"/>
      <c r="C100" s="26"/>
      <c r="D100" s="26"/>
      <c r="E100" s="14"/>
      <c r="F100" s="26"/>
    </row>
    <row r="101" spans="1:6" ht="19.95" customHeight="1">
      <c r="A101" s="32"/>
      <c r="B101" s="26"/>
      <c r="C101" s="26"/>
      <c r="D101" s="26"/>
      <c r="E101" s="14"/>
      <c r="F101" s="26"/>
    </row>
    <row r="102" spans="1:6" ht="19.95" customHeight="1">
      <c r="A102" s="34"/>
      <c r="B102" s="26"/>
      <c r="C102" s="26"/>
      <c r="D102" s="26"/>
      <c r="E102" s="14"/>
      <c r="F102" s="26"/>
    </row>
    <row r="103" spans="1:6" ht="19.95" customHeight="1">
      <c r="A103" s="35"/>
      <c r="B103" s="27"/>
      <c r="C103" s="26"/>
      <c r="D103" s="26"/>
      <c r="E103" s="14"/>
      <c r="F103" s="26"/>
    </row>
    <row r="104" spans="1:6" ht="19.95" customHeight="1">
      <c r="A104" s="36"/>
      <c r="B104" s="27"/>
      <c r="C104" s="26"/>
      <c r="D104" s="26"/>
      <c r="E104" s="14"/>
      <c r="F104" s="26"/>
    </row>
    <row r="105" spans="1:6" ht="19.95" customHeight="1">
      <c r="A105" s="36"/>
      <c r="B105" s="27"/>
      <c r="C105" s="26"/>
      <c r="D105" s="26"/>
      <c r="E105" s="14"/>
      <c r="F105" s="26"/>
    </row>
    <row r="106" spans="1:6" ht="19.95" customHeight="1">
      <c r="A106" s="35"/>
      <c r="B106" s="27"/>
      <c r="C106" s="26"/>
      <c r="D106" s="26"/>
      <c r="E106" s="14"/>
      <c r="F106" s="26"/>
    </row>
    <row r="107" spans="1:6" ht="19.95" customHeight="1">
      <c r="A107" s="31"/>
      <c r="B107" s="26"/>
      <c r="C107" s="26"/>
      <c r="D107" s="26"/>
      <c r="E107" s="14"/>
      <c r="F107" s="26"/>
    </row>
    <row r="108" spans="1:6" ht="19.95" customHeight="1">
      <c r="A108" s="32"/>
      <c r="B108" s="26"/>
      <c r="C108" s="26"/>
      <c r="D108" s="26"/>
      <c r="E108" s="14"/>
      <c r="F108" s="26"/>
    </row>
    <row r="109" spans="1:6" ht="19.95" customHeight="1">
      <c r="A109" s="32"/>
      <c r="B109" s="26"/>
      <c r="C109" s="26"/>
      <c r="D109" s="26"/>
      <c r="E109" s="14"/>
      <c r="F109" s="26"/>
    </row>
    <row r="110" spans="1:6" ht="19.95" customHeight="1">
      <c r="A110" s="36"/>
      <c r="B110" s="27"/>
      <c r="C110" s="26"/>
      <c r="D110" s="26"/>
      <c r="E110" s="14"/>
      <c r="F110" s="26"/>
    </row>
    <row r="111" spans="1:6" ht="19.95" customHeight="1">
      <c r="A111" s="36"/>
      <c r="B111" s="27"/>
      <c r="C111" s="26"/>
      <c r="D111" s="26"/>
      <c r="E111" s="14"/>
      <c r="F111" s="26"/>
    </row>
    <row r="112" spans="1:6" ht="19.95" customHeight="1">
      <c r="A112" s="37"/>
      <c r="B112" s="14"/>
      <c r="C112" s="14"/>
      <c r="D112" s="14"/>
      <c r="E112" s="14"/>
      <c r="F112" s="14"/>
    </row>
    <row r="113" spans="1:6" ht="19.95" customHeight="1">
      <c r="A113" s="37"/>
      <c r="B113" s="14"/>
      <c r="C113" s="14"/>
      <c r="D113" s="14"/>
      <c r="E113" s="14"/>
      <c r="F113" s="14"/>
    </row>
    <row r="114" spans="1:6" ht="19.95" customHeight="1">
      <c r="A114" s="38"/>
      <c r="B114" s="14"/>
      <c r="C114" s="14"/>
      <c r="D114" s="14"/>
      <c r="E114" s="14"/>
      <c r="F114" s="14"/>
    </row>
    <row r="115" spans="1:6" ht="19.95" customHeight="1">
      <c r="A115" s="33"/>
      <c r="B115" s="14"/>
      <c r="C115" s="14"/>
      <c r="D115" s="14"/>
      <c r="E115" s="14"/>
      <c r="F115" s="14"/>
    </row>
    <row r="116" spans="1:6" ht="19.95" customHeight="1">
      <c r="A116" s="171" t="s">
        <v>5</v>
      </c>
      <c r="B116" s="172"/>
      <c r="C116" s="172"/>
      <c r="D116" s="172"/>
      <c r="E116" s="172"/>
      <c r="F116" s="173"/>
    </row>
    <row r="117" spans="1:6" ht="19.95" customHeight="1">
      <c r="A117" s="18"/>
      <c r="B117" s="19"/>
      <c r="C117" s="19"/>
      <c r="D117" s="19"/>
      <c r="E117" s="20"/>
      <c r="F117" s="21"/>
    </row>
    <row r="118" spans="1:6" ht="19.95" customHeight="1">
      <c r="A118" s="59" t="s">
        <v>12</v>
      </c>
      <c r="E118" s="7" t="s">
        <v>0</v>
      </c>
      <c r="F118" s="8">
        <v>3</v>
      </c>
    </row>
    <row r="119" spans="1:6" ht="19.95" customHeight="1">
      <c r="A119" s="59" t="s">
        <v>44</v>
      </c>
      <c r="F119" s="22"/>
    </row>
    <row r="120" spans="1:6" ht="19.95" customHeight="1">
      <c r="A120" s="23"/>
      <c r="B120" s="24"/>
      <c r="C120" s="24"/>
      <c r="D120" s="24"/>
      <c r="E120" s="24"/>
      <c r="F120" s="25"/>
    </row>
    <row r="121" spans="1:6" ht="19.95" customHeight="1" thickBot="1">
      <c r="A121" s="13" t="s">
        <v>6</v>
      </c>
      <c r="B121" s="13" t="s">
        <v>7</v>
      </c>
      <c r="C121" s="13" t="s">
        <v>8</v>
      </c>
      <c r="D121" s="13" t="s">
        <v>9</v>
      </c>
      <c r="E121" s="13" t="s">
        <v>10</v>
      </c>
      <c r="F121" s="13" t="s">
        <v>11</v>
      </c>
    </row>
    <row r="122" spans="1:6" ht="19.95" customHeight="1" thickBot="1">
      <c r="A122" s="73" t="s">
        <v>37</v>
      </c>
      <c r="B122" s="80"/>
      <c r="C122" s="81"/>
      <c r="D122" s="81"/>
      <c r="E122" s="81"/>
      <c r="F122" s="53"/>
    </row>
    <row r="123" spans="1:6" ht="19.95" customHeight="1">
      <c r="A123" s="96" t="s">
        <v>17</v>
      </c>
      <c r="B123" s="52"/>
      <c r="C123" s="52"/>
      <c r="D123" s="52"/>
      <c r="E123" s="52"/>
      <c r="F123" s="53"/>
    </row>
    <row r="124" spans="1:6" ht="19.95" customHeight="1">
      <c r="A124" s="62" t="s">
        <v>18</v>
      </c>
      <c r="B124" s="52">
        <v>2</v>
      </c>
      <c r="C124" s="52">
        <v>1.8049999999999999</v>
      </c>
      <c r="D124" s="52">
        <v>2.67</v>
      </c>
      <c r="E124" s="52">
        <f>D124*C124*B124</f>
        <v>9.6387</v>
      </c>
      <c r="F124" s="52"/>
    </row>
    <row r="125" spans="1:6" ht="19.95" customHeight="1">
      <c r="A125" s="62" t="s">
        <v>19</v>
      </c>
      <c r="B125" s="52">
        <v>2</v>
      </c>
      <c r="C125" s="52">
        <v>0.22500000000000001</v>
      </c>
      <c r="D125" s="52">
        <v>0.48499999999999999</v>
      </c>
      <c r="E125" s="52"/>
      <c r="F125" s="52">
        <f>D125*C125*B125</f>
        <v>0.21825</v>
      </c>
    </row>
    <row r="126" spans="1:6" ht="19.95" customHeight="1">
      <c r="A126" s="62" t="s">
        <v>20</v>
      </c>
      <c r="B126" s="52">
        <v>2</v>
      </c>
      <c r="C126" s="52">
        <v>0.21</v>
      </c>
      <c r="D126" s="97">
        <v>0.18</v>
      </c>
      <c r="E126" s="84"/>
      <c r="F126" s="52">
        <f>D126*C126*B126</f>
        <v>7.5600000000000001E-2</v>
      </c>
    </row>
    <row r="127" spans="1:6" ht="19.95" customHeight="1">
      <c r="A127" s="98" t="s">
        <v>21</v>
      </c>
      <c r="B127" s="57">
        <v>1</v>
      </c>
      <c r="C127" s="57">
        <v>0.06</v>
      </c>
      <c r="D127" s="57">
        <v>1.585</v>
      </c>
      <c r="E127" s="57">
        <f>D127*C127*B127</f>
        <v>9.509999999999999E-2</v>
      </c>
      <c r="F127" s="57"/>
    </row>
    <row r="128" spans="1:6" ht="19.95" customHeight="1">
      <c r="A128" s="98" t="s">
        <v>22</v>
      </c>
      <c r="B128" s="57">
        <v>1</v>
      </c>
      <c r="C128" s="57">
        <v>2.92</v>
      </c>
      <c r="D128" s="97">
        <v>2.67</v>
      </c>
      <c r="E128" s="99">
        <f>D128*C128*B128</f>
        <v>7.7963999999999993</v>
      </c>
      <c r="F128" s="85"/>
    </row>
    <row r="129" spans="1:6" ht="19.95" customHeight="1">
      <c r="A129" s="62" t="s">
        <v>23</v>
      </c>
      <c r="B129" s="57">
        <v>1</v>
      </c>
      <c r="C129" s="57">
        <v>1.925</v>
      </c>
      <c r="D129" s="57">
        <v>2.12</v>
      </c>
      <c r="E129" s="57"/>
      <c r="F129" s="57">
        <f>D129*C129*B129</f>
        <v>4.0810000000000004</v>
      </c>
    </row>
    <row r="130" spans="1:6" ht="19.95" customHeight="1">
      <c r="A130" s="62" t="s">
        <v>24</v>
      </c>
      <c r="B130" s="52">
        <v>1</v>
      </c>
      <c r="C130" s="52">
        <v>0.05</v>
      </c>
      <c r="D130" s="52">
        <v>0.48499999999999999</v>
      </c>
      <c r="E130" s="52"/>
      <c r="F130" s="52">
        <f>D130*C130*B130</f>
        <v>2.4250000000000001E-2</v>
      </c>
    </row>
    <row r="131" spans="1:6" ht="19.95" customHeight="1">
      <c r="A131" s="62" t="s">
        <v>25</v>
      </c>
      <c r="B131" s="52">
        <v>2</v>
      </c>
      <c r="C131" s="52">
        <v>0.04</v>
      </c>
      <c r="D131" s="52">
        <v>2.12</v>
      </c>
      <c r="E131" s="52">
        <f t="shared" ref="E131:E137" si="2">D131*C131*B131</f>
        <v>0.1696</v>
      </c>
      <c r="F131" s="52"/>
    </row>
    <row r="132" spans="1:6" ht="19.95" customHeight="1">
      <c r="A132" s="62" t="s">
        <v>26</v>
      </c>
      <c r="B132" s="52">
        <v>1</v>
      </c>
      <c r="C132" s="52">
        <v>0.04</v>
      </c>
      <c r="D132" s="56">
        <v>1.925</v>
      </c>
      <c r="E132" s="56">
        <f t="shared" si="2"/>
        <v>7.6999999999999999E-2</v>
      </c>
      <c r="F132" s="56"/>
    </row>
    <row r="133" spans="1:6" ht="19.95" customHeight="1">
      <c r="A133" s="62" t="s">
        <v>38</v>
      </c>
      <c r="B133" s="52">
        <v>1</v>
      </c>
      <c r="C133" s="52">
        <v>2.89</v>
      </c>
      <c r="D133" s="97">
        <v>0.48499999999999999</v>
      </c>
      <c r="E133" s="97">
        <f t="shared" si="2"/>
        <v>1.4016500000000001</v>
      </c>
      <c r="F133" s="84"/>
    </row>
    <row r="134" spans="1:6" ht="19.95" customHeight="1">
      <c r="A134" s="62" t="s">
        <v>39</v>
      </c>
      <c r="B134" s="52">
        <v>1</v>
      </c>
      <c r="C134" s="52">
        <v>0.185</v>
      </c>
      <c r="D134" s="52">
        <v>2.89</v>
      </c>
      <c r="E134" s="52">
        <f t="shared" si="2"/>
        <v>0.53465000000000007</v>
      </c>
      <c r="F134" s="52"/>
    </row>
    <row r="135" spans="1:6" ht="19.95" customHeight="1">
      <c r="A135" s="62" t="s">
        <v>40</v>
      </c>
      <c r="B135" s="52">
        <v>1</v>
      </c>
      <c r="C135" s="52">
        <v>0.06</v>
      </c>
      <c r="D135" s="97">
        <v>2.89</v>
      </c>
      <c r="E135" s="97">
        <f t="shared" si="2"/>
        <v>0.1734</v>
      </c>
      <c r="F135" s="84"/>
    </row>
    <row r="136" spans="1:6" ht="19.95" customHeight="1">
      <c r="A136" s="62" t="s">
        <v>41</v>
      </c>
      <c r="B136" s="52">
        <v>1</v>
      </c>
      <c r="C136" s="52">
        <v>2.89</v>
      </c>
      <c r="D136" s="97">
        <v>0.18</v>
      </c>
      <c r="E136" s="97">
        <f t="shared" si="2"/>
        <v>0.5202</v>
      </c>
      <c r="F136" s="52"/>
    </row>
    <row r="137" spans="1:6" ht="19.95" customHeight="1" thickBot="1">
      <c r="A137" s="62" t="s">
        <v>42</v>
      </c>
      <c r="B137" s="52">
        <v>1</v>
      </c>
      <c r="C137" s="52">
        <v>0.21</v>
      </c>
      <c r="D137" s="56">
        <v>2.89</v>
      </c>
      <c r="E137" s="56">
        <f t="shared" si="2"/>
        <v>0.6069</v>
      </c>
      <c r="F137" s="74"/>
    </row>
    <row r="138" spans="1:6" ht="19.95" customHeight="1" thickBot="1">
      <c r="A138" s="33"/>
      <c r="B138" s="33"/>
      <c r="C138" s="67"/>
      <c r="D138" s="113" t="s">
        <v>13</v>
      </c>
      <c r="E138" s="114">
        <f>SUM(E124:E137)</f>
        <v>21.0136</v>
      </c>
      <c r="F138" s="115">
        <f>SUM(F124:F137)</f>
        <v>4.3991000000000007</v>
      </c>
    </row>
    <row r="139" spans="1:6" ht="19.95" customHeight="1" thickBot="1">
      <c r="A139" s="33"/>
      <c r="B139" s="33"/>
      <c r="C139" s="33"/>
      <c r="D139" s="112"/>
      <c r="E139" s="112"/>
      <c r="F139" s="112"/>
    </row>
    <row r="140" spans="1:6" ht="19.95" customHeight="1" thickBot="1">
      <c r="A140" s="33"/>
      <c r="B140" s="33"/>
      <c r="C140" s="67"/>
      <c r="D140" s="116" t="s">
        <v>13</v>
      </c>
      <c r="E140" s="69">
        <f>E138-F138</f>
        <v>16.6145</v>
      </c>
      <c r="F140" s="70" t="s">
        <v>4</v>
      </c>
    </row>
    <row r="141" spans="1:6" ht="19.95" customHeight="1">
      <c r="A141" s="83" t="s">
        <v>27</v>
      </c>
      <c r="B141" s="52"/>
      <c r="C141" s="52"/>
      <c r="D141" s="75"/>
      <c r="E141" s="75"/>
      <c r="F141" s="75"/>
    </row>
    <row r="142" spans="1:6" ht="19.95" customHeight="1">
      <c r="A142" s="62" t="s">
        <v>18</v>
      </c>
      <c r="B142" s="52">
        <v>2</v>
      </c>
      <c r="C142" s="52">
        <v>1.37</v>
      </c>
      <c r="D142" s="52">
        <v>1.93</v>
      </c>
      <c r="E142" s="52">
        <f>D142*C142*B142</f>
        <v>5.2882000000000007</v>
      </c>
      <c r="F142" s="52"/>
    </row>
    <row r="143" spans="1:6" ht="19.95" customHeight="1">
      <c r="A143" s="62" t="s">
        <v>19</v>
      </c>
      <c r="B143" s="52">
        <v>2</v>
      </c>
      <c r="C143" s="52">
        <v>0.24</v>
      </c>
      <c r="D143" s="52">
        <v>0.5</v>
      </c>
      <c r="E143" s="52"/>
      <c r="F143" s="52">
        <f>D143*C143*B143</f>
        <v>0.24</v>
      </c>
    </row>
    <row r="144" spans="1:6" ht="19.95" customHeight="1">
      <c r="A144" s="98" t="s">
        <v>22</v>
      </c>
      <c r="B144" s="52">
        <v>1</v>
      </c>
      <c r="C144" s="52">
        <v>2.4449999999999998</v>
      </c>
      <c r="D144" s="97">
        <v>1.93</v>
      </c>
      <c r="E144" s="97">
        <f>D144*C144*B144</f>
        <v>4.7188499999999998</v>
      </c>
      <c r="F144" s="84"/>
    </row>
    <row r="145" spans="1:6" ht="19.95" customHeight="1">
      <c r="A145" s="62" t="s">
        <v>23</v>
      </c>
      <c r="B145" s="52">
        <v>1</v>
      </c>
      <c r="C145" s="52">
        <v>1.1499999999999999</v>
      </c>
      <c r="D145" s="52">
        <v>1.43</v>
      </c>
      <c r="E145" s="52"/>
      <c r="F145" s="52">
        <f>D145*C145*B145</f>
        <v>1.6444999999999999</v>
      </c>
    </row>
    <row r="146" spans="1:6" ht="19.95" customHeight="1">
      <c r="A146" s="62" t="s">
        <v>25</v>
      </c>
      <c r="B146" s="52">
        <v>2</v>
      </c>
      <c r="C146" s="52">
        <v>0.04</v>
      </c>
      <c r="D146" s="97">
        <v>1.43</v>
      </c>
      <c r="E146" s="97">
        <f>D146*C146*B146</f>
        <v>0.1144</v>
      </c>
      <c r="F146" s="84"/>
    </row>
    <row r="147" spans="1:6" ht="19.95" customHeight="1">
      <c r="A147" s="62" t="s">
        <v>26</v>
      </c>
      <c r="B147" s="52">
        <v>1</v>
      </c>
      <c r="C147" s="52">
        <v>0.04</v>
      </c>
      <c r="D147" s="52">
        <v>1.1499999999999999</v>
      </c>
      <c r="E147" s="52">
        <f>D147*C147*B147</f>
        <v>4.5999999999999999E-2</v>
      </c>
      <c r="F147" s="52"/>
    </row>
    <row r="148" spans="1:6" ht="19.95" customHeight="1">
      <c r="A148" s="61" t="s">
        <v>28</v>
      </c>
      <c r="B148" s="75">
        <v>1</v>
      </c>
      <c r="C148" s="75">
        <v>2.4449999999999998</v>
      </c>
      <c r="D148" s="75">
        <v>0.5</v>
      </c>
      <c r="E148" s="75">
        <f>D148*C148*B148</f>
        <v>1.2224999999999999</v>
      </c>
      <c r="F148" s="75"/>
    </row>
    <row r="149" spans="1:6" ht="19.95" customHeight="1">
      <c r="A149" s="61" t="s">
        <v>29</v>
      </c>
      <c r="B149" s="52">
        <v>1</v>
      </c>
      <c r="C149" s="75">
        <v>2.4449999999999998</v>
      </c>
      <c r="D149" s="52">
        <v>0.2</v>
      </c>
      <c r="E149" s="52">
        <f>D149*C149*B149</f>
        <v>0.48899999999999999</v>
      </c>
      <c r="F149" s="52"/>
    </row>
    <row r="150" spans="1:6" ht="19.95" customHeight="1" thickBot="1">
      <c r="A150" s="62" t="s">
        <v>30</v>
      </c>
      <c r="B150" s="52">
        <v>1</v>
      </c>
      <c r="C150" s="52">
        <v>2.4449999999999998</v>
      </c>
      <c r="D150" s="56">
        <v>0.05</v>
      </c>
      <c r="E150" s="56">
        <f>D150*C150*B150</f>
        <v>0.12225</v>
      </c>
      <c r="F150" s="56"/>
    </row>
    <row r="151" spans="1:6" ht="19.95" customHeight="1" thickBot="1">
      <c r="A151" s="54"/>
      <c r="B151" s="52"/>
      <c r="C151" s="55"/>
      <c r="D151" s="64" t="s">
        <v>13</v>
      </c>
      <c r="E151" s="65">
        <f>SUM(E142:E150)</f>
        <v>12.001199999999999</v>
      </c>
      <c r="F151" s="66">
        <f>SUM(F142:F150)</f>
        <v>1.8844999999999998</v>
      </c>
    </row>
    <row r="152" spans="1:6" ht="19.95" customHeight="1" thickBot="1">
      <c r="A152" s="54"/>
      <c r="B152" s="52"/>
      <c r="C152" s="52"/>
      <c r="D152" s="101"/>
      <c r="E152" s="101"/>
      <c r="F152" s="102"/>
    </row>
    <row r="153" spans="1:6" ht="19.95" customHeight="1" thickBot="1">
      <c r="A153" s="54"/>
      <c r="B153" s="52"/>
      <c r="C153" s="55"/>
      <c r="D153" s="68" t="s">
        <v>13</v>
      </c>
      <c r="E153" s="69">
        <f>E151-F151</f>
        <v>10.1167</v>
      </c>
      <c r="F153" s="76" t="s">
        <v>4</v>
      </c>
    </row>
    <row r="154" spans="1:6" ht="19.95" customHeight="1">
      <c r="A154" s="174" t="s">
        <v>5</v>
      </c>
      <c r="B154" s="175"/>
      <c r="C154" s="175"/>
      <c r="D154" s="175"/>
      <c r="E154" s="175"/>
      <c r="F154" s="176"/>
    </row>
    <row r="155" spans="1:6" ht="19.95" customHeight="1">
      <c r="A155" s="18"/>
      <c r="B155" s="19"/>
      <c r="C155" s="19"/>
      <c r="D155" s="19"/>
      <c r="E155" s="20"/>
      <c r="F155" s="21"/>
    </row>
    <row r="156" spans="1:6" ht="19.95" customHeight="1">
      <c r="A156" s="59" t="s">
        <v>12</v>
      </c>
      <c r="E156" s="7" t="s">
        <v>0</v>
      </c>
      <c r="F156" s="8">
        <v>4</v>
      </c>
    </row>
    <row r="157" spans="1:6" ht="19.95" customHeight="1">
      <c r="A157" s="59" t="s">
        <v>44</v>
      </c>
      <c r="F157" s="22"/>
    </row>
    <row r="158" spans="1:6" ht="19.95" customHeight="1">
      <c r="A158" s="23"/>
      <c r="B158" s="24"/>
      <c r="C158" s="24"/>
      <c r="D158" s="24"/>
      <c r="E158" s="24"/>
      <c r="F158" s="25"/>
    </row>
    <row r="159" spans="1:6" ht="19.95" customHeight="1" thickBot="1">
      <c r="A159" s="13" t="s">
        <v>6</v>
      </c>
      <c r="B159" s="13" t="s">
        <v>7</v>
      </c>
      <c r="C159" s="13" t="s">
        <v>8</v>
      </c>
      <c r="D159" s="13" t="s">
        <v>9</v>
      </c>
      <c r="E159" s="13" t="s">
        <v>10</v>
      </c>
      <c r="F159" s="13" t="s">
        <v>11</v>
      </c>
    </row>
    <row r="160" spans="1:6" ht="19.95" customHeight="1" thickBot="1">
      <c r="A160" s="73" t="s">
        <v>37</v>
      </c>
      <c r="B160" s="26"/>
      <c r="C160" s="26"/>
      <c r="D160" s="26"/>
      <c r="E160" s="26"/>
      <c r="F160" s="27"/>
    </row>
    <row r="161" spans="1:6" ht="19.95" customHeight="1">
      <c r="A161" s="103" t="s">
        <v>31</v>
      </c>
      <c r="B161" s="26"/>
      <c r="C161" s="26"/>
      <c r="D161" s="26"/>
      <c r="E161" s="26"/>
      <c r="F161" s="27"/>
    </row>
    <row r="162" spans="1:6" ht="19.95" customHeight="1">
      <c r="A162" s="104" t="s">
        <v>32</v>
      </c>
      <c r="B162" s="26">
        <v>2</v>
      </c>
      <c r="C162" s="26">
        <v>0.32</v>
      </c>
      <c r="D162" s="26">
        <v>2.2400000000000002</v>
      </c>
      <c r="E162" s="14">
        <f>D162*C162*B162</f>
        <v>1.4336000000000002</v>
      </c>
      <c r="F162" s="26"/>
    </row>
    <row r="163" spans="1:6" ht="19.95" customHeight="1">
      <c r="A163" s="104" t="s">
        <v>33</v>
      </c>
      <c r="B163" s="26">
        <v>1</v>
      </c>
      <c r="C163" s="26">
        <v>0.27</v>
      </c>
      <c r="D163" s="26">
        <v>2</v>
      </c>
      <c r="E163" s="26">
        <f>D163*C163*B163</f>
        <v>0.54</v>
      </c>
      <c r="F163" s="27"/>
    </row>
    <row r="164" spans="1:6" ht="19.95" customHeight="1">
      <c r="A164" s="104" t="s">
        <v>34</v>
      </c>
      <c r="B164" s="26">
        <v>1</v>
      </c>
      <c r="C164" s="26">
        <v>0.05</v>
      </c>
      <c r="D164" s="26">
        <v>2</v>
      </c>
      <c r="E164" s="14">
        <f>D164*C164*B164</f>
        <v>0.1</v>
      </c>
      <c r="F164" s="26"/>
    </row>
    <row r="165" spans="1:6" ht="19.95" customHeight="1" thickBot="1">
      <c r="A165" s="104" t="s">
        <v>35</v>
      </c>
      <c r="B165" s="26">
        <v>1</v>
      </c>
      <c r="C165" s="26">
        <v>0.32</v>
      </c>
      <c r="D165" s="106">
        <v>2</v>
      </c>
      <c r="E165" s="107">
        <f>D165*C165*B165</f>
        <v>0.64</v>
      </c>
      <c r="F165" s="106"/>
    </row>
    <row r="166" spans="1:6" ht="19.95" customHeight="1" thickBot="1">
      <c r="A166" s="32"/>
      <c r="B166" s="26"/>
      <c r="C166" s="105"/>
      <c r="D166" s="68" t="s">
        <v>13</v>
      </c>
      <c r="E166" s="69">
        <f>SUM(E162:E165)</f>
        <v>2.7136000000000005</v>
      </c>
      <c r="F166" s="76" t="s">
        <v>4</v>
      </c>
    </row>
    <row r="167" spans="1:6" ht="19.95" customHeight="1">
      <c r="A167" s="109"/>
      <c r="B167" s="26"/>
      <c r="C167" s="26"/>
      <c r="D167" s="29"/>
      <c r="E167" s="91"/>
      <c r="F167" s="29"/>
    </row>
    <row r="168" spans="1:6" ht="19.95" customHeight="1">
      <c r="A168" s="110" t="s">
        <v>36</v>
      </c>
      <c r="B168" s="108"/>
      <c r="C168" s="26"/>
      <c r="D168" s="26"/>
      <c r="E168" s="14"/>
      <c r="F168" s="26"/>
    </row>
    <row r="169" spans="1:6" ht="19.95" customHeight="1">
      <c r="A169" s="104" t="s">
        <v>32</v>
      </c>
      <c r="B169" s="26">
        <v>2</v>
      </c>
      <c r="C169" s="26">
        <v>0.30499999999999999</v>
      </c>
      <c r="D169" s="26">
        <v>2.23</v>
      </c>
      <c r="E169" s="14">
        <f>D169*C169*B169</f>
        <v>1.3603000000000001</v>
      </c>
      <c r="F169" s="26"/>
    </row>
    <row r="170" spans="1:6" ht="19.95" customHeight="1">
      <c r="A170" s="104" t="s">
        <v>33</v>
      </c>
      <c r="B170" s="26">
        <v>1</v>
      </c>
      <c r="C170" s="26">
        <v>0.27</v>
      </c>
      <c r="D170" s="26">
        <v>2.0499999999999998</v>
      </c>
      <c r="E170" s="14">
        <f t="shared" ref="E170:E172" si="3">D170*C170*B170</f>
        <v>0.55349999999999999</v>
      </c>
      <c r="F170" s="26"/>
    </row>
    <row r="171" spans="1:6" ht="19.95" customHeight="1">
      <c r="A171" s="104" t="s">
        <v>34</v>
      </c>
      <c r="B171" s="26">
        <v>1</v>
      </c>
      <c r="C171" s="26">
        <v>0.05</v>
      </c>
      <c r="D171" s="26">
        <v>2.0499999999999998</v>
      </c>
      <c r="E171" s="14">
        <f t="shared" si="3"/>
        <v>0.10249999999999999</v>
      </c>
      <c r="F171" s="26"/>
    </row>
    <row r="172" spans="1:6" ht="19.95" customHeight="1" thickBot="1">
      <c r="A172" s="104" t="s">
        <v>35</v>
      </c>
      <c r="B172" s="26">
        <v>1</v>
      </c>
      <c r="C172" s="26">
        <v>0.30499999999999999</v>
      </c>
      <c r="D172" s="106">
        <v>2.0499999999999998</v>
      </c>
      <c r="E172" s="107">
        <f t="shared" si="3"/>
        <v>0.62524999999999997</v>
      </c>
      <c r="F172" s="106"/>
    </row>
    <row r="173" spans="1:6" ht="19.95" customHeight="1" thickBot="1">
      <c r="A173" s="32"/>
      <c r="B173" s="26"/>
      <c r="C173" s="26"/>
      <c r="D173" s="68" t="s">
        <v>13</v>
      </c>
      <c r="E173" s="69">
        <f>SUM(E169:E172)</f>
        <v>2.6415500000000001</v>
      </c>
      <c r="F173" s="76" t="s">
        <v>4</v>
      </c>
    </row>
    <row r="174" spans="1:6" ht="19.95" customHeight="1">
      <c r="A174" s="28"/>
      <c r="B174" s="26"/>
      <c r="C174" s="26"/>
      <c r="D174" s="26"/>
      <c r="E174" s="27"/>
      <c r="F174" s="27"/>
    </row>
    <row r="175" spans="1:6" ht="19.95" customHeight="1">
      <c r="A175" s="28"/>
      <c r="B175" s="26"/>
      <c r="C175" s="26"/>
      <c r="D175" s="26"/>
      <c r="E175" s="33"/>
      <c r="F175" s="27"/>
    </row>
    <row r="176" spans="1:6" ht="19.95" customHeight="1">
      <c r="A176" s="28"/>
      <c r="B176" s="26"/>
      <c r="C176" s="26"/>
      <c r="D176" s="26"/>
      <c r="E176" s="27"/>
      <c r="F176" s="27"/>
    </row>
    <row r="177" spans="1:6" ht="19.95" customHeight="1">
      <c r="A177" s="28"/>
      <c r="B177" s="26"/>
      <c r="C177" s="26"/>
      <c r="D177" s="26"/>
      <c r="E177" s="33"/>
      <c r="F177" s="27"/>
    </row>
    <row r="178" spans="1:6" ht="19.95" customHeight="1">
      <c r="A178" s="39"/>
      <c r="B178" s="26"/>
      <c r="C178" s="26"/>
      <c r="D178" s="26"/>
      <c r="E178" s="27"/>
      <c r="F178" s="27"/>
    </row>
    <row r="179" spans="1:6" ht="19.95" customHeight="1">
      <c r="A179" s="28"/>
      <c r="B179" s="26"/>
      <c r="C179" s="26"/>
      <c r="D179" s="26"/>
      <c r="E179" s="33"/>
      <c r="F179" s="27"/>
    </row>
    <row r="180" spans="1:6" ht="19.95" customHeight="1">
      <c r="A180" s="28"/>
      <c r="B180" s="26"/>
      <c r="C180" s="26"/>
      <c r="D180" s="26"/>
      <c r="E180" s="27"/>
      <c r="F180" s="27"/>
    </row>
    <row r="181" spans="1:6" ht="19.95" customHeight="1">
      <c r="A181" s="28"/>
      <c r="B181" s="26"/>
      <c r="C181" s="26"/>
      <c r="D181" s="26"/>
      <c r="E181" s="33"/>
      <c r="F181" s="27"/>
    </row>
    <row r="182" spans="1:6" ht="19.95" customHeight="1">
      <c r="A182" s="28"/>
      <c r="B182" s="26"/>
      <c r="C182" s="26"/>
      <c r="D182" s="26"/>
      <c r="E182" s="27"/>
      <c r="F182" s="27"/>
    </row>
    <row r="183" spans="1:6" ht="19.95" customHeight="1">
      <c r="A183" s="28"/>
      <c r="B183" s="26"/>
      <c r="C183" s="26"/>
      <c r="D183" s="26"/>
      <c r="E183" s="33"/>
      <c r="F183" s="27"/>
    </row>
    <row r="184" spans="1:6" ht="19.95" customHeight="1">
      <c r="A184" s="28"/>
      <c r="B184" s="26"/>
      <c r="C184" s="26"/>
      <c r="D184" s="26"/>
      <c r="E184" s="27"/>
      <c r="F184" s="27"/>
    </row>
    <row r="185" spans="1:6" ht="19.95" customHeight="1">
      <c r="A185" s="28"/>
      <c r="B185" s="26"/>
      <c r="C185" s="26"/>
      <c r="D185" s="26"/>
      <c r="E185" s="33"/>
      <c r="F185" s="27"/>
    </row>
    <row r="186" spans="1:6" ht="19.95" customHeight="1">
      <c r="A186" s="37"/>
      <c r="B186" s="27"/>
      <c r="C186" s="26"/>
      <c r="D186" s="26"/>
      <c r="E186" s="27"/>
      <c r="F186" s="27"/>
    </row>
    <row r="187" spans="1:6" ht="19.95" customHeight="1">
      <c r="A187" s="37"/>
      <c r="B187" s="27"/>
      <c r="C187" s="26"/>
      <c r="D187" s="26"/>
      <c r="E187" s="33"/>
      <c r="F187" s="27"/>
    </row>
    <row r="188" spans="1:6" ht="19.95" customHeight="1">
      <c r="A188" s="37"/>
      <c r="B188" s="27"/>
      <c r="C188" s="26"/>
      <c r="D188" s="26"/>
      <c r="E188" s="27"/>
      <c r="F188" s="27"/>
    </row>
    <row r="189" spans="1:6" ht="19.95" customHeight="1">
      <c r="A189" s="37"/>
      <c r="B189" s="27"/>
      <c r="C189" s="26"/>
      <c r="D189" s="26"/>
      <c r="E189" s="33"/>
      <c r="F189" s="27"/>
    </row>
    <row r="190" spans="1:6" ht="19.95" customHeight="1">
      <c r="A190" s="37"/>
      <c r="B190" s="27"/>
      <c r="C190" s="26"/>
      <c r="D190" s="26"/>
      <c r="E190" s="33"/>
      <c r="F190" s="27"/>
    </row>
    <row r="191" spans="1:6" ht="19.95" customHeight="1">
      <c r="A191" s="38"/>
      <c r="B191" s="27"/>
      <c r="C191" s="27"/>
      <c r="D191" s="27"/>
      <c r="E191" s="27"/>
      <c r="F191" s="27"/>
    </row>
    <row r="192" spans="1:6" ht="19.95" customHeight="1">
      <c r="A192" s="171" t="s">
        <v>5</v>
      </c>
      <c r="B192" s="172"/>
      <c r="C192" s="172"/>
      <c r="D192" s="172"/>
      <c r="E192" s="172"/>
      <c r="F192" s="173"/>
    </row>
    <row r="193" spans="1:6" ht="19.95" customHeight="1">
      <c r="A193" s="18"/>
      <c r="B193" s="19"/>
      <c r="C193" s="19"/>
      <c r="D193" s="19"/>
      <c r="E193" s="20"/>
      <c r="F193" s="21"/>
    </row>
    <row r="194" spans="1:6" ht="19.95" customHeight="1">
      <c r="A194" s="59" t="s">
        <v>12</v>
      </c>
      <c r="E194" s="7" t="s">
        <v>0</v>
      </c>
      <c r="F194" s="8">
        <v>5</v>
      </c>
    </row>
    <row r="195" spans="1:6" ht="19.95" customHeight="1">
      <c r="A195" s="59" t="s">
        <v>45</v>
      </c>
      <c r="F195" s="22"/>
    </row>
    <row r="196" spans="1:6" ht="19.95" customHeight="1">
      <c r="A196" s="23"/>
      <c r="B196" s="24"/>
      <c r="C196" s="24"/>
      <c r="D196" s="24"/>
      <c r="E196" s="24"/>
      <c r="F196" s="25"/>
    </row>
    <row r="197" spans="1:6" ht="19.95" customHeight="1" thickBot="1">
      <c r="A197" s="13" t="s">
        <v>6</v>
      </c>
      <c r="B197" s="13" t="s">
        <v>7</v>
      </c>
      <c r="C197" s="13" t="s">
        <v>8</v>
      </c>
      <c r="D197" s="13" t="s">
        <v>9</v>
      </c>
      <c r="E197" s="13" t="s">
        <v>10</v>
      </c>
      <c r="F197" s="13" t="s">
        <v>11</v>
      </c>
    </row>
    <row r="198" spans="1:6" ht="19.95" customHeight="1" thickBot="1">
      <c r="A198" s="73" t="s">
        <v>46</v>
      </c>
      <c r="B198" s="80"/>
      <c r="C198" s="81"/>
      <c r="D198" s="81"/>
      <c r="E198" s="81"/>
      <c r="F198" s="53"/>
    </row>
    <row r="199" spans="1:6" ht="19.95" customHeight="1">
      <c r="A199" s="96" t="s">
        <v>17</v>
      </c>
      <c r="B199" s="52"/>
      <c r="C199" s="52"/>
      <c r="D199" s="52"/>
      <c r="E199" s="52"/>
      <c r="F199" s="53"/>
    </row>
    <row r="200" spans="1:6" ht="19.95" customHeight="1">
      <c r="A200" s="62" t="s">
        <v>18</v>
      </c>
      <c r="B200" s="52">
        <v>2</v>
      </c>
      <c r="C200" s="52">
        <v>1.8</v>
      </c>
      <c r="D200" s="52">
        <v>2.7</v>
      </c>
      <c r="E200" s="52">
        <f>D200*C200*B200</f>
        <v>9.7200000000000006</v>
      </c>
      <c r="F200" s="52"/>
    </row>
    <row r="201" spans="1:6" ht="19.95" customHeight="1">
      <c r="A201" s="62" t="s">
        <v>19</v>
      </c>
      <c r="B201" s="52">
        <v>2</v>
      </c>
      <c r="C201" s="52">
        <v>0.23</v>
      </c>
      <c r="D201" s="52">
        <v>0.48499999999999999</v>
      </c>
      <c r="E201" s="52"/>
      <c r="F201" s="52">
        <f>D201*C201*B201</f>
        <v>0.22309999999999999</v>
      </c>
    </row>
    <row r="202" spans="1:6" ht="19.95" customHeight="1">
      <c r="A202" s="62" t="s">
        <v>20</v>
      </c>
      <c r="B202" s="52">
        <v>2</v>
      </c>
      <c r="C202" s="52">
        <v>0.20499999999999999</v>
      </c>
      <c r="D202" s="97">
        <v>0.22500000000000001</v>
      </c>
      <c r="E202" s="84"/>
      <c r="F202" s="52">
        <f>D202*C202*B202</f>
        <v>9.2249999999999999E-2</v>
      </c>
    </row>
    <row r="203" spans="1:6" ht="19.95" customHeight="1">
      <c r="A203" s="98" t="s">
        <v>47</v>
      </c>
      <c r="B203" s="57">
        <v>1</v>
      </c>
      <c r="C203" s="57">
        <v>0.05</v>
      </c>
      <c r="D203" s="57">
        <v>1.575</v>
      </c>
      <c r="E203" s="57">
        <f>D203*C203*B203</f>
        <v>7.8750000000000001E-2</v>
      </c>
      <c r="F203" s="57"/>
    </row>
    <row r="204" spans="1:6" ht="19.95" customHeight="1">
      <c r="A204" s="98" t="s">
        <v>22</v>
      </c>
      <c r="B204" s="57">
        <v>1</v>
      </c>
      <c r="C204" s="57">
        <v>2.92</v>
      </c>
      <c r="D204" s="97">
        <v>2.7</v>
      </c>
      <c r="E204" s="99">
        <f>D204*C204*B204</f>
        <v>7.8840000000000003</v>
      </c>
      <c r="F204" s="85"/>
    </row>
    <row r="205" spans="1:6" ht="19.95" customHeight="1">
      <c r="A205" s="62" t="s">
        <v>23</v>
      </c>
      <c r="B205" s="57">
        <v>1</v>
      </c>
      <c r="C205" s="57">
        <v>1.92</v>
      </c>
      <c r="D205" s="57">
        <v>2.14</v>
      </c>
      <c r="E205" s="57"/>
      <c r="F205" s="57">
        <f>D205*C205*B205</f>
        <v>4.1088000000000005</v>
      </c>
    </row>
    <row r="206" spans="1:6" ht="19.95" customHeight="1">
      <c r="A206" s="62" t="s">
        <v>24</v>
      </c>
      <c r="B206" s="52">
        <v>1</v>
      </c>
      <c r="C206" s="52">
        <v>0.05</v>
      </c>
      <c r="D206" s="52">
        <v>0.49</v>
      </c>
      <c r="E206" s="52"/>
      <c r="F206" s="52">
        <f>D206*C206*B206</f>
        <v>2.4500000000000001E-2</v>
      </c>
    </row>
    <row r="207" spans="1:6" ht="19.95" customHeight="1">
      <c r="A207" s="62" t="s">
        <v>25</v>
      </c>
      <c r="B207" s="52">
        <v>2</v>
      </c>
      <c r="C207" s="52">
        <v>0.04</v>
      </c>
      <c r="D207" s="52">
        <v>2.14</v>
      </c>
      <c r="E207" s="52">
        <f t="shared" ref="E207:E213" si="4">D207*C207*B207</f>
        <v>0.17120000000000002</v>
      </c>
      <c r="F207" s="52"/>
    </row>
    <row r="208" spans="1:6" ht="19.95" customHeight="1">
      <c r="A208" s="62" t="s">
        <v>26</v>
      </c>
      <c r="B208" s="52">
        <v>1</v>
      </c>
      <c r="C208" s="52">
        <v>0.04</v>
      </c>
      <c r="D208" s="56">
        <v>1.92</v>
      </c>
      <c r="E208" s="56">
        <f t="shared" si="4"/>
        <v>7.6799999999999993E-2</v>
      </c>
      <c r="F208" s="56"/>
    </row>
    <row r="209" spans="1:6" ht="19.95" customHeight="1">
      <c r="A209" s="62" t="s">
        <v>38</v>
      </c>
      <c r="B209" s="52">
        <v>1</v>
      </c>
      <c r="C209" s="52">
        <v>2.895</v>
      </c>
      <c r="D209" s="97">
        <v>0.49</v>
      </c>
      <c r="E209" s="97">
        <f t="shared" si="4"/>
        <v>1.41855</v>
      </c>
      <c r="F209" s="84"/>
    </row>
    <row r="210" spans="1:6" ht="19.95" customHeight="1">
      <c r="A210" s="62" t="s">
        <v>39</v>
      </c>
      <c r="B210" s="52">
        <v>1</v>
      </c>
      <c r="C210" s="52">
        <v>0.19</v>
      </c>
      <c r="D210" s="52">
        <v>2.895</v>
      </c>
      <c r="E210" s="52">
        <f t="shared" si="4"/>
        <v>0.55005000000000004</v>
      </c>
      <c r="F210" s="52"/>
    </row>
    <row r="211" spans="1:6" ht="19.95" customHeight="1">
      <c r="A211" s="62" t="s">
        <v>40</v>
      </c>
      <c r="B211" s="52">
        <v>1</v>
      </c>
      <c r="C211" s="52">
        <v>0.05</v>
      </c>
      <c r="D211" s="97">
        <v>2.895</v>
      </c>
      <c r="E211" s="97">
        <f t="shared" si="4"/>
        <v>0.14475000000000002</v>
      </c>
      <c r="F211" s="84"/>
    </row>
    <row r="212" spans="1:6" ht="19.95" customHeight="1">
      <c r="A212" s="62" t="s">
        <v>41</v>
      </c>
      <c r="B212" s="52">
        <v>1</v>
      </c>
      <c r="C212" s="52">
        <v>2.89</v>
      </c>
      <c r="D212" s="97">
        <v>0.22500000000000001</v>
      </c>
      <c r="E212" s="97">
        <f t="shared" si="4"/>
        <v>0.65024999999999999</v>
      </c>
      <c r="F212" s="52"/>
    </row>
    <row r="213" spans="1:6" ht="19.95" customHeight="1" thickBot="1">
      <c r="A213" s="62" t="s">
        <v>42</v>
      </c>
      <c r="B213" s="52">
        <v>1</v>
      </c>
      <c r="C213" s="52">
        <v>0.20499999999999999</v>
      </c>
      <c r="D213" s="56">
        <v>2.895</v>
      </c>
      <c r="E213" s="56">
        <f t="shared" si="4"/>
        <v>0.59347499999999997</v>
      </c>
      <c r="F213" s="74"/>
    </row>
    <row r="214" spans="1:6" ht="19.95" customHeight="1" thickBot="1">
      <c r="A214" s="33"/>
      <c r="B214" s="33"/>
      <c r="C214" s="67"/>
      <c r="D214" s="113" t="s">
        <v>13</v>
      </c>
      <c r="E214" s="114">
        <f>SUM(E200:E213)</f>
        <v>21.287824999999994</v>
      </c>
      <c r="F214" s="115">
        <f>SUM(F200:F213)</f>
        <v>4.4486500000000007</v>
      </c>
    </row>
    <row r="215" spans="1:6" ht="19.95" customHeight="1" thickBot="1">
      <c r="A215" s="33"/>
      <c r="B215" s="33"/>
      <c r="C215" s="33"/>
      <c r="D215" s="112"/>
      <c r="E215" s="112"/>
      <c r="F215" s="112"/>
    </row>
    <row r="216" spans="1:6" ht="19.95" customHeight="1" thickBot="1">
      <c r="A216" s="33"/>
      <c r="B216" s="33"/>
      <c r="C216" s="67"/>
      <c r="D216" s="116" t="s">
        <v>13</v>
      </c>
      <c r="E216" s="69">
        <f>E214-F214</f>
        <v>16.839174999999994</v>
      </c>
      <c r="F216" s="70" t="s">
        <v>4</v>
      </c>
    </row>
    <row r="217" spans="1:6" ht="19.95" customHeight="1">
      <c r="A217" s="83" t="s">
        <v>27</v>
      </c>
      <c r="B217" s="52"/>
      <c r="C217" s="52"/>
      <c r="D217" s="75"/>
      <c r="E217" s="75"/>
      <c r="F217" s="75"/>
    </row>
    <row r="218" spans="1:6" ht="19.95" customHeight="1">
      <c r="A218" s="62" t="s">
        <v>18</v>
      </c>
      <c r="B218" s="52">
        <v>2</v>
      </c>
      <c r="C218" s="52">
        <v>1.37</v>
      </c>
      <c r="D218" s="52">
        <v>1.9650000000000001</v>
      </c>
      <c r="E218" s="52">
        <f>D218*C218*B218</f>
        <v>5.384100000000001</v>
      </c>
      <c r="F218" s="52"/>
    </row>
    <row r="219" spans="1:6" ht="19.95" customHeight="1">
      <c r="A219" s="62" t="s">
        <v>19</v>
      </c>
      <c r="B219" s="52">
        <v>2</v>
      </c>
      <c r="C219" s="52">
        <v>0.245</v>
      </c>
      <c r="D219" s="52">
        <v>0.5</v>
      </c>
      <c r="E219" s="52"/>
      <c r="F219" s="52">
        <f>D219*C219*B219</f>
        <v>0.245</v>
      </c>
    </row>
    <row r="220" spans="1:6" ht="19.95" customHeight="1">
      <c r="A220" s="98" t="s">
        <v>22</v>
      </c>
      <c r="B220" s="52">
        <v>1</v>
      </c>
      <c r="C220" s="52">
        <v>2.4649999999999999</v>
      </c>
      <c r="D220" s="97">
        <v>1.9650000000000001</v>
      </c>
      <c r="E220" s="97">
        <f>D220*C220*B220</f>
        <v>4.8437250000000001</v>
      </c>
      <c r="F220" s="84"/>
    </row>
    <row r="221" spans="1:6" ht="19.95" customHeight="1">
      <c r="A221" s="62" t="s">
        <v>23</v>
      </c>
      <c r="B221" s="52">
        <v>1</v>
      </c>
      <c r="C221" s="52">
        <v>1.167</v>
      </c>
      <c r="D221" s="52">
        <v>1.4650000000000001</v>
      </c>
      <c r="E221" s="52"/>
      <c r="F221" s="52">
        <f>D221*C221*B221</f>
        <v>1.7096550000000001</v>
      </c>
    </row>
    <row r="222" spans="1:6" ht="19.95" customHeight="1">
      <c r="A222" s="62" t="s">
        <v>25</v>
      </c>
      <c r="B222" s="52">
        <v>2</v>
      </c>
      <c r="C222" s="52">
        <v>3.5000000000000003E-2</v>
      </c>
      <c r="D222" s="97">
        <v>1.4650000000000001</v>
      </c>
      <c r="E222" s="97">
        <f>D222*C222*B222</f>
        <v>0.10255000000000002</v>
      </c>
      <c r="F222" s="84"/>
    </row>
    <row r="223" spans="1:6" ht="19.95" customHeight="1">
      <c r="A223" s="62" t="s">
        <v>26</v>
      </c>
      <c r="B223" s="52">
        <v>1</v>
      </c>
      <c r="C223" s="52">
        <v>3.5000000000000003E-2</v>
      </c>
      <c r="D223" s="52">
        <v>1.167</v>
      </c>
      <c r="E223" s="52">
        <f>D223*C223*B223</f>
        <v>4.0845000000000006E-2</v>
      </c>
      <c r="F223" s="52"/>
    </row>
    <row r="224" spans="1:6" ht="19.95" customHeight="1">
      <c r="A224" s="61" t="s">
        <v>28</v>
      </c>
      <c r="B224" s="75">
        <v>1</v>
      </c>
      <c r="C224" s="75">
        <v>2.4550000000000001</v>
      </c>
      <c r="D224" s="75">
        <v>0.5</v>
      </c>
      <c r="E224" s="75">
        <f>D224*C224*B224</f>
        <v>1.2275</v>
      </c>
      <c r="F224" s="75"/>
    </row>
    <row r="225" spans="1:6" ht="19.95" customHeight="1">
      <c r="A225" s="61" t="s">
        <v>29</v>
      </c>
      <c r="B225" s="52">
        <v>1</v>
      </c>
      <c r="C225" s="75">
        <v>2.4550000000000001</v>
      </c>
      <c r="D225" s="52">
        <v>0.21</v>
      </c>
      <c r="E225" s="52">
        <f>D225*C225*B225</f>
        <v>0.51554999999999995</v>
      </c>
      <c r="F225" s="52"/>
    </row>
    <row r="226" spans="1:6" ht="19.95" customHeight="1" thickBot="1">
      <c r="A226" s="62" t="s">
        <v>30</v>
      </c>
      <c r="B226" s="52">
        <v>1</v>
      </c>
      <c r="C226" s="52">
        <v>2.4550000000000001</v>
      </c>
      <c r="D226" s="56">
        <v>0.05</v>
      </c>
      <c r="E226" s="56">
        <f>D226*C226*B226</f>
        <v>0.12275000000000001</v>
      </c>
      <c r="F226" s="56"/>
    </row>
    <row r="227" spans="1:6" ht="19.95" customHeight="1" thickBot="1">
      <c r="A227" s="54"/>
      <c r="B227" s="52"/>
      <c r="C227" s="55"/>
      <c r="D227" s="64" t="s">
        <v>13</v>
      </c>
      <c r="E227" s="65">
        <f>SUM(E218:E226)</f>
        <v>12.237019999999999</v>
      </c>
      <c r="F227" s="66">
        <f>SUM(F218:F226)</f>
        <v>1.9546550000000003</v>
      </c>
    </row>
    <row r="228" spans="1:6" ht="19.95" customHeight="1" thickBot="1">
      <c r="A228" s="54"/>
      <c r="B228" s="52"/>
      <c r="C228" s="52"/>
      <c r="D228" s="101"/>
      <c r="E228" s="101"/>
      <c r="F228" s="102"/>
    </row>
    <row r="229" spans="1:6" ht="19.95" customHeight="1" thickBot="1">
      <c r="A229" s="54"/>
      <c r="B229" s="52"/>
      <c r="C229" s="55"/>
      <c r="D229" s="68" t="s">
        <v>13</v>
      </c>
      <c r="E229" s="69">
        <f>E227-F227</f>
        <v>10.282364999999999</v>
      </c>
      <c r="F229" s="76" t="s">
        <v>4</v>
      </c>
    </row>
    <row r="230" spans="1:6" ht="19.95" customHeight="1">
      <c r="A230" s="174" t="s">
        <v>5</v>
      </c>
      <c r="B230" s="175"/>
      <c r="C230" s="175"/>
      <c r="D230" s="175"/>
      <c r="E230" s="175"/>
      <c r="F230" s="176"/>
    </row>
    <row r="231" spans="1:6" ht="19.95" customHeight="1">
      <c r="A231" s="18"/>
      <c r="B231" s="19"/>
      <c r="C231" s="19"/>
      <c r="D231" s="19"/>
      <c r="E231" s="20"/>
      <c r="F231" s="21"/>
    </row>
    <row r="232" spans="1:6" ht="19.95" customHeight="1">
      <c r="A232" s="59" t="s">
        <v>12</v>
      </c>
      <c r="E232" s="7" t="s">
        <v>0</v>
      </c>
      <c r="F232" s="8">
        <v>6</v>
      </c>
    </row>
    <row r="233" spans="1:6" ht="19.95" customHeight="1">
      <c r="A233" s="59" t="s">
        <v>45</v>
      </c>
      <c r="F233" s="22"/>
    </row>
    <row r="234" spans="1:6" ht="19.95" customHeight="1">
      <c r="A234" s="23"/>
      <c r="B234" s="24"/>
      <c r="C234" s="24"/>
      <c r="D234" s="24"/>
      <c r="E234" s="24"/>
      <c r="F234" s="25"/>
    </row>
    <row r="235" spans="1:6" ht="19.95" customHeight="1" thickBot="1">
      <c r="A235" s="13" t="s">
        <v>6</v>
      </c>
      <c r="B235" s="13" t="s">
        <v>7</v>
      </c>
      <c r="C235" s="13" t="s">
        <v>8</v>
      </c>
      <c r="D235" s="13" t="s">
        <v>9</v>
      </c>
      <c r="E235" s="13" t="s">
        <v>10</v>
      </c>
      <c r="F235" s="13" t="s">
        <v>11</v>
      </c>
    </row>
    <row r="236" spans="1:6" ht="19.5" customHeight="1" thickBot="1">
      <c r="A236" s="73" t="s">
        <v>46</v>
      </c>
      <c r="B236" s="26"/>
      <c r="C236" s="26"/>
      <c r="D236" s="26"/>
      <c r="E236" s="26"/>
      <c r="F236" s="27"/>
    </row>
    <row r="237" spans="1:6" ht="19.5" customHeight="1">
      <c r="A237" s="103" t="s">
        <v>31</v>
      </c>
      <c r="B237" s="26"/>
      <c r="C237" s="26"/>
      <c r="D237" s="26"/>
      <c r="E237" s="26"/>
      <c r="F237" s="27"/>
    </row>
    <row r="238" spans="1:6" ht="19.5" customHeight="1">
      <c r="A238" s="104" t="s">
        <v>32</v>
      </c>
      <c r="B238" s="26">
        <v>2</v>
      </c>
      <c r="C238" s="26">
        <v>0.31</v>
      </c>
      <c r="D238" s="26">
        <v>2.2650000000000001</v>
      </c>
      <c r="E238" s="14">
        <f>D238*C238*B238</f>
        <v>1.4043000000000001</v>
      </c>
      <c r="F238" s="26"/>
    </row>
    <row r="239" spans="1:6" ht="19.5" customHeight="1">
      <c r="A239" s="104" t="s">
        <v>33</v>
      </c>
      <c r="B239" s="26">
        <v>1</v>
      </c>
      <c r="C239" s="26">
        <v>0.27500000000000002</v>
      </c>
      <c r="D239" s="26">
        <v>2.0550000000000002</v>
      </c>
      <c r="E239" s="26">
        <f>D239*C239*B239</f>
        <v>0.5651250000000001</v>
      </c>
      <c r="F239" s="27"/>
    </row>
    <row r="240" spans="1:6" ht="19.5" customHeight="1">
      <c r="A240" s="104" t="s">
        <v>34</v>
      </c>
      <c r="B240" s="26">
        <v>1</v>
      </c>
      <c r="C240" s="26">
        <v>4.4999999999999998E-2</v>
      </c>
      <c r="D240" s="26">
        <v>2.0550000000000002</v>
      </c>
      <c r="E240" s="14">
        <f>D240*C240*B240</f>
        <v>9.2475000000000002E-2</v>
      </c>
      <c r="F240" s="26"/>
    </row>
    <row r="241" spans="1:6" ht="19.5" customHeight="1" thickBot="1">
      <c r="A241" s="104" t="s">
        <v>35</v>
      </c>
      <c r="B241" s="26">
        <v>1</v>
      </c>
      <c r="C241" s="26">
        <v>0.31</v>
      </c>
      <c r="D241" s="106">
        <v>2.0550000000000002</v>
      </c>
      <c r="E241" s="107">
        <f>D241*C241*B241</f>
        <v>0.63705000000000001</v>
      </c>
      <c r="F241" s="106"/>
    </row>
    <row r="242" spans="1:6" ht="19.5" customHeight="1" thickBot="1">
      <c r="A242" s="32"/>
      <c r="B242" s="26"/>
      <c r="C242" s="105"/>
      <c r="D242" s="68" t="s">
        <v>13</v>
      </c>
      <c r="E242" s="69">
        <f>SUM(E238:E241)</f>
        <v>2.69895</v>
      </c>
      <c r="F242" s="76" t="s">
        <v>4</v>
      </c>
    </row>
    <row r="243" spans="1:6" ht="19.5" customHeight="1">
      <c r="A243" s="109"/>
      <c r="B243" s="26"/>
      <c r="C243" s="26"/>
      <c r="D243" s="29"/>
      <c r="E243" s="91"/>
      <c r="F243" s="29"/>
    </row>
    <row r="244" spans="1:6" ht="19.5" customHeight="1">
      <c r="A244" s="110" t="s">
        <v>36</v>
      </c>
      <c r="B244" s="108"/>
      <c r="C244" s="26"/>
      <c r="D244" s="26"/>
      <c r="E244" s="14"/>
      <c r="F244" s="26"/>
    </row>
    <row r="245" spans="1:6" ht="19.5" customHeight="1">
      <c r="A245" s="104" t="s">
        <v>32</v>
      </c>
      <c r="B245" s="26">
        <v>2</v>
      </c>
      <c r="C245" s="26">
        <v>0.32</v>
      </c>
      <c r="D245" s="26">
        <v>2.2799999999999998</v>
      </c>
      <c r="E245" s="14">
        <f>D245*C245*B245</f>
        <v>1.4591999999999998</v>
      </c>
      <c r="F245" s="26"/>
    </row>
    <row r="246" spans="1:6" ht="19.5" customHeight="1">
      <c r="A246" s="104" t="s">
        <v>33</v>
      </c>
      <c r="B246" s="26">
        <v>1</v>
      </c>
      <c r="C246" s="26">
        <v>0.27</v>
      </c>
      <c r="D246" s="26">
        <v>1.1100000000000001</v>
      </c>
      <c r="E246" s="14">
        <f t="shared" ref="E246:E248" si="5">D246*C246*B246</f>
        <v>0.29970000000000002</v>
      </c>
      <c r="F246" s="26"/>
    </row>
    <row r="247" spans="1:6" ht="19.5" customHeight="1">
      <c r="A247" s="104" t="s">
        <v>34</v>
      </c>
      <c r="B247" s="26">
        <v>1</v>
      </c>
      <c r="C247" s="26">
        <v>5.5E-2</v>
      </c>
      <c r="D247" s="26">
        <v>1.1100000000000001</v>
      </c>
      <c r="E247" s="14">
        <f t="shared" si="5"/>
        <v>6.1050000000000007E-2</v>
      </c>
      <c r="F247" s="26"/>
    </row>
    <row r="248" spans="1:6" ht="19.5" customHeight="1" thickBot="1">
      <c r="A248" s="104" t="s">
        <v>35</v>
      </c>
      <c r="B248" s="26">
        <v>1</v>
      </c>
      <c r="C248" s="26">
        <v>0.32</v>
      </c>
      <c r="D248" s="106">
        <v>1.1100000000000001</v>
      </c>
      <c r="E248" s="107">
        <f t="shared" si="5"/>
        <v>0.35520000000000002</v>
      </c>
      <c r="F248" s="106"/>
    </row>
    <row r="249" spans="1:6" ht="19.5" customHeight="1" thickBot="1">
      <c r="A249" s="32"/>
      <c r="B249" s="26"/>
      <c r="C249" s="26"/>
      <c r="D249" s="68" t="s">
        <v>13</v>
      </c>
      <c r="E249" s="69">
        <f>SUM(E245:E248)</f>
        <v>2.1751499999999999</v>
      </c>
      <c r="F249" s="76" t="s">
        <v>4</v>
      </c>
    </row>
    <row r="250" spans="1:6" ht="19.5" customHeight="1">
      <c r="A250" s="41"/>
      <c r="B250" s="26"/>
      <c r="C250" s="26"/>
      <c r="D250" s="26"/>
      <c r="E250" s="27"/>
      <c r="F250" s="27"/>
    </row>
    <row r="251" spans="1:6" ht="19.5" customHeight="1">
      <c r="A251" s="41"/>
      <c r="B251" s="26"/>
      <c r="C251" s="26"/>
      <c r="D251" s="26"/>
      <c r="E251" s="27"/>
      <c r="F251" s="27"/>
    </row>
    <row r="252" spans="1:6" ht="19.5" customHeight="1">
      <c r="A252" s="40"/>
      <c r="B252" s="26"/>
      <c r="C252" s="26"/>
      <c r="D252" s="26"/>
      <c r="E252" s="27"/>
      <c r="F252" s="27"/>
    </row>
    <row r="253" spans="1:6" ht="19.5" customHeight="1">
      <c r="A253" s="41"/>
      <c r="B253" s="26"/>
      <c r="C253" s="26"/>
      <c r="D253" s="26"/>
      <c r="E253" s="27"/>
      <c r="F253" s="27"/>
    </row>
    <row r="254" spans="1:6" ht="19.5" customHeight="1">
      <c r="A254" s="41"/>
      <c r="B254" s="26"/>
      <c r="C254" s="26"/>
      <c r="D254" s="26"/>
      <c r="E254" s="27"/>
      <c r="F254" s="27"/>
    </row>
    <row r="255" spans="1:6" ht="19.5" customHeight="1">
      <c r="A255" s="41"/>
      <c r="B255" s="26"/>
      <c r="C255" s="26"/>
      <c r="D255" s="26"/>
      <c r="E255" s="27"/>
      <c r="F255" s="27"/>
    </row>
    <row r="256" spans="1:6" ht="19.5" customHeight="1">
      <c r="A256" s="41"/>
      <c r="B256" s="26"/>
      <c r="C256" s="26"/>
      <c r="D256" s="26"/>
      <c r="E256" s="27"/>
      <c r="F256" s="27"/>
    </row>
    <row r="257" spans="1:6" ht="19.5" customHeight="1">
      <c r="A257" s="41"/>
      <c r="B257" s="26"/>
      <c r="C257" s="26"/>
      <c r="D257" s="26"/>
      <c r="E257" s="27"/>
      <c r="F257" s="27"/>
    </row>
    <row r="258" spans="1:6" ht="19.5" customHeight="1">
      <c r="A258" s="41"/>
      <c r="B258" s="26"/>
      <c r="C258" s="26"/>
      <c r="D258" s="26"/>
      <c r="E258" s="27"/>
      <c r="F258" s="27"/>
    </row>
    <row r="259" spans="1:6" ht="19.5" customHeight="1">
      <c r="A259" s="42"/>
      <c r="B259" s="26"/>
      <c r="C259" s="26"/>
      <c r="D259" s="26"/>
      <c r="E259" s="27"/>
      <c r="F259" s="27"/>
    </row>
    <row r="260" spans="1:6" ht="19.5" customHeight="1">
      <c r="A260" s="41"/>
      <c r="B260" s="26"/>
      <c r="C260" s="26"/>
      <c r="D260" s="26"/>
      <c r="E260" s="27"/>
      <c r="F260" s="27"/>
    </row>
    <row r="261" spans="1:6" ht="19.5" customHeight="1">
      <c r="A261" s="41"/>
      <c r="B261" s="26"/>
      <c r="C261" s="26"/>
      <c r="D261" s="26"/>
      <c r="E261" s="27"/>
      <c r="F261" s="27"/>
    </row>
    <row r="262" spans="1:6" ht="19.5" customHeight="1">
      <c r="A262" s="41"/>
      <c r="B262" s="26"/>
      <c r="C262" s="26"/>
      <c r="D262" s="26"/>
      <c r="E262" s="27"/>
      <c r="F262" s="27"/>
    </row>
    <row r="263" spans="1:6" ht="19.5" customHeight="1">
      <c r="A263" s="41"/>
      <c r="B263" s="26"/>
      <c r="C263" s="26"/>
      <c r="D263" s="26"/>
      <c r="E263" s="27"/>
      <c r="F263" s="27"/>
    </row>
    <row r="264" spans="1:6" ht="19.5" customHeight="1">
      <c r="A264" s="41"/>
      <c r="B264" s="26"/>
      <c r="C264" s="26"/>
      <c r="D264" s="26"/>
      <c r="E264" s="27"/>
      <c r="F264" s="27"/>
    </row>
    <row r="265" spans="1:6" ht="19.5" customHeight="1">
      <c r="A265" s="41"/>
      <c r="B265" s="26"/>
      <c r="C265" s="26"/>
      <c r="D265" s="26"/>
      <c r="E265" s="27"/>
      <c r="F265" s="27"/>
    </row>
    <row r="266" spans="1:6" ht="19.5" customHeight="1">
      <c r="A266" s="41"/>
      <c r="B266" s="26"/>
      <c r="C266" s="26"/>
      <c r="D266" s="26"/>
      <c r="E266" s="27"/>
      <c r="F266" s="27"/>
    </row>
    <row r="267" spans="1:6" ht="19.5" customHeight="1">
      <c r="A267" s="36"/>
      <c r="B267" s="27"/>
      <c r="C267" s="26"/>
      <c r="D267" s="26"/>
      <c r="E267" s="27"/>
      <c r="F267" s="27"/>
    </row>
    <row r="268" spans="1:6" ht="19.95" customHeight="1">
      <c r="A268" s="171" t="s">
        <v>5</v>
      </c>
      <c r="B268" s="172"/>
      <c r="C268" s="172"/>
      <c r="D268" s="172"/>
      <c r="E268" s="172"/>
      <c r="F268" s="173"/>
    </row>
    <row r="269" spans="1:6" ht="19.95" customHeight="1">
      <c r="A269" s="18"/>
      <c r="B269" s="19"/>
      <c r="C269" s="19"/>
      <c r="D269" s="19"/>
      <c r="E269" s="20"/>
      <c r="F269" s="21"/>
    </row>
    <row r="270" spans="1:6" ht="19.95" customHeight="1">
      <c r="A270" s="59" t="s">
        <v>12</v>
      </c>
      <c r="E270" s="7" t="s">
        <v>0</v>
      </c>
      <c r="F270" s="8">
        <v>7</v>
      </c>
    </row>
    <row r="271" spans="1:6" ht="19.95" customHeight="1">
      <c r="A271" s="59" t="s">
        <v>48</v>
      </c>
      <c r="F271" s="22"/>
    </row>
    <row r="272" spans="1:6" ht="19.95" customHeight="1">
      <c r="A272" s="23"/>
      <c r="B272" s="24"/>
      <c r="C272" s="24"/>
      <c r="D272" s="24"/>
      <c r="E272" s="24"/>
      <c r="F272" s="25"/>
    </row>
    <row r="273" spans="1:6" ht="19.95" customHeight="1" thickBot="1">
      <c r="A273" s="13" t="s">
        <v>6</v>
      </c>
      <c r="B273" s="13" t="s">
        <v>7</v>
      </c>
      <c r="C273" s="13" t="s">
        <v>8</v>
      </c>
      <c r="D273" s="13" t="s">
        <v>9</v>
      </c>
      <c r="E273" s="13" t="s">
        <v>10</v>
      </c>
      <c r="F273" s="13" t="s">
        <v>11</v>
      </c>
    </row>
    <row r="274" spans="1:6" ht="19.95" customHeight="1" thickBot="1">
      <c r="A274" s="73" t="s">
        <v>49</v>
      </c>
      <c r="B274" s="80"/>
      <c r="C274" s="81"/>
      <c r="D274" s="81"/>
      <c r="E274" s="81"/>
      <c r="F274" s="53"/>
    </row>
    <row r="275" spans="1:6" ht="19.95" customHeight="1">
      <c r="A275" s="96" t="s">
        <v>17</v>
      </c>
      <c r="B275" s="52"/>
      <c r="C275" s="52"/>
      <c r="D275" s="52"/>
      <c r="E275" s="52"/>
      <c r="F275" s="53"/>
    </row>
    <row r="276" spans="1:6" ht="19.95" customHeight="1">
      <c r="A276" s="62" t="s">
        <v>18</v>
      </c>
      <c r="B276" s="52">
        <v>2</v>
      </c>
      <c r="C276" s="52">
        <v>1.81</v>
      </c>
      <c r="D276" s="52">
        <v>2.7</v>
      </c>
      <c r="E276" s="52">
        <f>D276*C276*B276</f>
        <v>9.7740000000000009</v>
      </c>
      <c r="F276" s="52"/>
    </row>
    <row r="277" spans="1:6" ht="19.95" customHeight="1">
      <c r="A277" s="62" t="s">
        <v>19</v>
      </c>
      <c r="B277" s="52">
        <v>2</v>
      </c>
      <c r="C277" s="52">
        <v>0.24</v>
      </c>
      <c r="D277" s="52">
        <v>0.5</v>
      </c>
      <c r="E277" s="52"/>
      <c r="F277" s="52">
        <f>D277*C277*B277</f>
        <v>0.24</v>
      </c>
    </row>
    <row r="278" spans="1:6" ht="19.95" customHeight="1">
      <c r="A278" s="62" t="s">
        <v>20</v>
      </c>
      <c r="B278" s="52">
        <v>2</v>
      </c>
      <c r="C278" s="52">
        <v>0.17499999999999999</v>
      </c>
      <c r="D278" s="97">
        <v>0.21</v>
      </c>
      <c r="E278" s="84"/>
      <c r="F278" s="52">
        <f>D278*C278*B278</f>
        <v>7.3499999999999996E-2</v>
      </c>
    </row>
    <row r="279" spans="1:6" ht="19.95" customHeight="1">
      <c r="A279" s="98" t="s">
        <v>50</v>
      </c>
      <c r="B279" s="57">
        <v>1</v>
      </c>
      <c r="C279" s="57">
        <v>0.05</v>
      </c>
      <c r="D279" s="57">
        <v>1.575</v>
      </c>
      <c r="E279" s="57">
        <f>D279*C279*B279</f>
        <v>7.8750000000000001E-2</v>
      </c>
      <c r="F279" s="57"/>
    </row>
    <row r="280" spans="1:6" ht="19.95" customHeight="1">
      <c r="A280" s="98" t="s">
        <v>22</v>
      </c>
      <c r="B280" s="57">
        <v>1</v>
      </c>
      <c r="C280" s="57">
        <v>2.9249999999999998</v>
      </c>
      <c r="D280" s="97">
        <v>2.7</v>
      </c>
      <c r="E280" s="99">
        <f>D280*C280*B280</f>
        <v>7.8975</v>
      </c>
      <c r="F280" s="85"/>
    </row>
    <row r="281" spans="1:6" ht="19.95" customHeight="1">
      <c r="A281" s="62" t="s">
        <v>23</v>
      </c>
      <c r="B281" s="57">
        <v>1</v>
      </c>
      <c r="C281" s="57">
        <v>1.9450000000000001</v>
      </c>
      <c r="D281" s="57">
        <v>2.165</v>
      </c>
      <c r="E281" s="57"/>
      <c r="F281" s="57">
        <f>D281*C281*B281</f>
        <v>4.2109250000000005</v>
      </c>
    </row>
    <row r="282" spans="1:6" ht="19.95" customHeight="1">
      <c r="A282" s="62" t="s">
        <v>24</v>
      </c>
      <c r="B282" s="52">
        <v>1</v>
      </c>
      <c r="C282" s="52">
        <v>0.05</v>
      </c>
      <c r="D282" s="52">
        <v>0.49</v>
      </c>
      <c r="E282" s="52"/>
      <c r="F282" s="52">
        <f>D282*C282*B282</f>
        <v>2.4500000000000001E-2</v>
      </c>
    </row>
    <row r="283" spans="1:6" ht="19.95" customHeight="1">
      <c r="A283" s="62" t="s">
        <v>25</v>
      </c>
      <c r="B283" s="52">
        <v>2</v>
      </c>
      <c r="C283" s="52">
        <v>0.06</v>
      </c>
      <c r="D283" s="52">
        <v>2.165</v>
      </c>
      <c r="E283" s="52">
        <f t="shared" ref="E283:E289" si="6">D283*C283*B283</f>
        <v>0.25979999999999998</v>
      </c>
      <c r="F283" s="52"/>
    </row>
    <row r="284" spans="1:6" ht="19.95" customHeight="1">
      <c r="A284" s="62" t="s">
        <v>26</v>
      </c>
      <c r="B284" s="52">
        <v>1</v>
      </c>
      <c r="C284" s="52">
        <v>0.06</v>
      </c>
      <c r="D284" s="56">
        <v>1.9450000000000001</v>
      </c>
      <c r="E284" s="56">
        <f t="shared" si="6"/>
        <v>0.1167</v>
      </c>
      <c r="F284" s="56"/>
    </row>
    <row r="285" spans="1:6" ht="19.95" customHeight="1">
      <c r="A285" s="62" t="s">
        <v>38</v>
      </c>
      <c r="B285" s="52">
        <v>1</v>
      </c>
      <c r="C285" s="52">
        <v>2.91</v>
      </c>
      <c r="D285" s="97">
        <v>0.5</v>
      </c>
      <c r="E285" s="97">
        <f t="shared" si="6"/>
        <v>1.4550000000000001</v>
      </c>
      <c r="F285" s="84"/>
    </row>
    <row r="286" spans="1:6" ht="19.95" customHeight="1">
      <c r="A286" s="62" t="s">
        <v>39</v>
      </c>
      <c r="B286" s="52">
        <v>1</v>
      </c>
      <c r="C286" s="52">
        <v>0.2</v>
      </c>
      <c r="D286" s="52">
        <v>2.91</v>
      </c>
      <c r="E286" s="52">
        <f t="shared" si="6"/>
        <v>0.58200000000000007</v>
      </c>
      <c r="F286" s="52"/>
    </row>
    <row r="287" spans="1:6" ht="19.95" customHeight="1">
      <c r="A287" s="62" t="s">
        <v>40</v>
      </c>
      <c r="B287" s="52">
        <v>1</v>
      </c>
      <c r="C287" s="52">
        <v>4.4999999999999998E-2</v>
      </c>
      <c r="D287" s="97">
        <v>2.91</v>
      </c>
      <c r="E287" s="97">
        <f t="shared" si="6"/>
        <v>0.13095000000000001</v>
      </c>
      <c r="F287" s="84"/>
    </row>
    <row r="288" spans="1:6" ht="19.95" customHeight="1">
      <c r="A288" s="62" t="s">
        <v>41</v>
      </c>
      <c r="B288" s="52">
        <v>1</v>
      </c>
      <c r="C288" s="52">
        <v>2.91</v>
      </c>
      <c r="D288" s="97">
        <v>0.21</v>
      </c>
      <c r="E288" s="97">
        <f t="shared" si="6"/>
        <v>0.61109999999999998</v>
      </c>
      <c r="F288" s="52"/>
    </row>
    <row r="289" spans="1:6" ht="19.95" customHeight="1" thickBot="1">
      <c r="A289" s="62" t="s">
        <v>42</v>
      </c>
      <c r="B289" s="52">
        <v>1</v>
      </c>
      <c r="C289" s="52">
        <v>0.17499999999999999</v>
      </c>
      <c r="D289" s="56">
        <v>2.895</v>
      </c>
      <c r="E289" s="56">
        <f t="shared" si="6"/>
        <v>0.50662499999999999</v>
      </c>
      <c r="F289" s="74"/>
    </row>
    <row r="290" spans="1:6" ht="19.95" customHeight="1" thickBot="1">
      <c r="A290" s="33"/>
      <c r="B290" s="33"/>
      <c r="C290" s="67"/>
      <c r="D290" s="113" t="s">
        <v>13</v>
      </c>
      <c r="E290" s="114">
        <f>SUM(E276:E289)</f>
        <v>21.412424999999999</v>
      </c>
      <c r="F290" s="115">
        <f>SUM(F276:F289)</f>
        <v>4.5489250000000006</v>
      </c>
    </row>
    <row r="291" spans="1:6" ht="19.95" customHeight="1" thickBot="1">
      <c r="A291" s="33"/>
      <c r="B291" s="33"/>
      <c r="C291" s="33"/>
      <c r="D291" s="112"/>
      <c r="E291" s="112"/>
      <c r="F291" s="112"/>
    </row>
    <row r="292" spans="1:6" ht="19.95" customHeight="1" thickBot="1">
      <c r="A292" s="33"/>
      <c r="B292" s="33"/>
      <c r="C292" s="67"/>
      <c r="D292" s="116" t="s">
        <v>13</v>
      </c>
      <c r="E292" s="69">
        <f>E290-F290</f>
        <v>16.863499999999998</v>
      </c>
      <c r="F292" s="70" t="s">
        <v>4</v>
      </c>
    </row>
    <row r="293" spans="1:6" ht="19.95" customHeight="1">
      <c r="A293" s="83" t="s">
        <v>27</v>
      </c>
      <c r="B293" s="52"/>
      <c r="C293" s="52"/>
      <c r="D293" s="75"/>
      <c r="E293" s="75"/>
      <c r="F293" s="75"/>
    </row>
    <row r="294" spans="1:6" ht="19.95" customHeight="1">
      <c r="A294" s="62" t="s">
        <v>18</v>
      </c>
      <c r="B294" s="52">
        <v>2</v>
      </c>
      <c r="C294" s="52">
        <v>1.355</v>
      </c>
      <c r="D294" s="52">
        <v>1.96</v>
      </c>
      <c r="E294" s="52">
        <f>D294*C294*B294</f>
        <v>5.3115999999999994</v>
      </c>
      <c r="F294" s="52"/>
    </row>
    <row r="295" spans="1:6" ht="19.95" customHeight="1">
      <c r="A295" s="62" t="s">
        <v>19</v>
      </c>
      <c r="B295" s="52">
        <v>2</v>
      </c>
      <c r="C295" s="52">
        <v>0.23499999999999999</v>
      </c>
      <c r="D295" s="52">
        <v>0.49</v>
      </c>
      <c r="E295" s="52"/>
      <c r="F295" s="52">
        <f>D295*C295*B295</f>
        <v>0.23029999999999998</v>
      </c>
    </row>
    <row r="296" spans="1:6" ht="19.95" customHeight="1">
      <c r="A296" s="98" t="s">
        <v>22</v>
      </c>
      <c r="B296" s="52">
        <v>1</v>
      </c>
      <c r="C296" s="52">
        <v>2.5499999999999998</v>
      </c>
      <c r="D296" s="97">
        <v>1.96</v>
      </c>
      <c r="E296" s="97">
        <f>D296*C296*B296</f>
        <v>4.9979999999999993</v>
      </c>
      <c r="F296" s="84"/>
    </row>
    <row r="297" spans="1:6" ht="19.95" customHeight="1">
      <c r="A297" s="62" t="s">
        <v>23</v>
      </c>
      <c r="B297" s="52">
        <v>1</v>
      </c>
      <c r="C297" s="52">
        <v>1.155</v>
      </c>
      <c r="D297" s="52">
        <v>1.45</v>
      </c>
      <c r="E297" s="52"/>
      <c r="F297" s="52">
        <f>D297*C297*B297</f>
        <v>1.67475</v>
      </c>
    </row>
    <row r="298" spans="1:6" ht="19.95" customHeight="1">
      <c r="A298" s="62" t="s">
        <v>25</v>
      </c>
      <c r="B298" s="52">
        <v>2</v>
      </c>
      <c r="C298" s="52">
        <v>0.03</v>
      </c>
      <c r="D298" s="97">
        <v>1.45</v>
      </c>
      <c r="E298" s="97">
        <f>D298*C298*B298</f>
        <v>8.6999999999999994E-2</v>
      </c>
      <c r="F298" s="84"/>
    </row>
    <row r="299" spans="1:6" ht="19.95" customHeight="1">
      <c r="A299" s="62" t="s">
        <v>26</v>
      </c>
      <c r="B299" s="52">
        <v>1</v>
      </c>
      <c r="C299" s="52">
        <v>0.03</v>
      </c>
      <c r="D299" s="52">
        <v>1.155</v>
      </c>
      <c r="E299" s="52">
        <f>D299*C299*B299</f>
        <v>3.465E-2</v>
      </c>
      <c r="F299" s="52"/>
    </row>
    <row r="300" spans="1:6" ht="19.95" customHeight="1">
      <c r="A300" s="61" t="s">
        <v>28</v>
      </c>
      <c r="B300" s="75">
        <v>1</v>
      </c>
      <c r="C300" s="75">
        <v>2.4550000000000001</v>
      </c>
      <c r="D300" s="75">
        <v>0.49</v>
      </c>
      <c r="E300" s="75">
        <f>D300*C300*B300</f>
        <v>1.20295</v>
      </c>
      <c r="F300" s="75"/>
    </row>
    <row r="301" spans="1:6" ht="19.95" customHeight="1">
      <c r="A301" s="61" t="s">
        <v>29</v>
      </c>
      <c r="B301" s="52">
        <v>1</v>
      </c>
      <c r="C301" s="75">
        <v>2.4550000000000001</v>
      </c>
      <c r="D301" s="52">
        <v>0.20499999999999999</v>
      </c>
      <c r="E301" s="52">
        <f>D301*C301*B301</f>
        <v>0.50327500000000003</v>
      </c>
      <c r="F301" s="52"/>
    </row>
    <row r="302" spans="1:6" ht="19.95" customHeight="1" thickBot="1">
      <c r="A302" s="62" t="s">
        <v>30</v>
      </c>
      <c r="B302" s="52">
        <v>1</v>
      </c>
      <c r="C302" s="52">
        <v>2.4550000000000001</v>
      </c>
      <c r="D302" s="56">
        <v>0.05</v>
      </c>
      <c r="E302" s="56">
        <f>D302*C302*B302</f>
        <v>0.12275000000000001</v>
      </c>
      <c r="F302" s="56"/>
    </row>
    <row r="303" spans="1:6" ht="19.95" customHeight="1" thickBot="1">
      <c r="A303" s="54"/>
      <c r="B303" s="52"/>
      <c r="C303" s="55"/>
      <c r="D303" s="64" t="s">
        <v>13</v>
      </c>
      <c r="E303" s="65">
        <f>SUM(E294:E302)</f>
        <v>12.260224999999998</v>
      </c>
      <c r="F303" s="66">
        <f>SUM(F294:F302)</f>
        <v>1.9050499999999999</v>
      </c>
    </row>
    <row r="304" spans="1:6" ht="19.95" customHeight="1" thickBot="1">
      <c r="A304" s="54"/>
      <c r="B304" s="52"/>
      <c r="C304" s="52"/>
      <c r="D304" s="101"/>
      <c r="E304" s="101"/>
      <c r="F304" s="102"/>
    </row>
    <row r="305" spans="1:6" ht="19.95" customHeight="1" thickBot="1">
      <c r="A305" s="54"/>
      <c r="B305" s="52"/>
      <c r="C305" s="55"/>
      <c r="D305" s="68" t="s">
        <v>13</v>
      </c>
      <c r="E305" s="69">
        <f>E303-F303</f>
        <v>10.355174999999999</v>
      </c>
      <c r="F305" s="76" t="s">
        <v>4</v>
      </c>
    </row>
    <row r="306" spans="1:6" ht="19.95" customHeight="1">
      <c r="A306" s="174" t="s">
        <v>5</v>
      </c>
      <c r="B306" s="175"/>
      <c r="C306" s="175"/>
      <c r="D306" s="175"/>
      <c r="E306" s="175"/>
      <c r="F306" s="176"/>
    </row>
    <row r="307" spans="1:6" ht="19.95" customHeight="1">
      <c r="A307" s="18"/>
      <c r="B307" s="19"/>
      <c r="C307" s="19"/>
      <c r="D307" s="19"/>
      <c r="E307" s="20"/>
      <c r="F307" s="21"/>
    </row>
    <row r="308" spans="1:6" ht="19.95" customHeight="1">
      <c r="A308" s="59" t="s">
        <v>12</v>
      </c>
      <c r="E308" s="7" t="s">
        <v>0</v>
      </c>
      <c r="F308" s="8">
        <v>8</v>
      </c>
    </row>
    <row r="309" spans="1:6" ht="19.95" customHeight="1">
      <c r="A309" s="59" t="s">
        <v>56</v>
      </c>
      <c r="F309" s="22"/>
    </row>
    <row r="310" spans="1:6" ht="19.95" customHeight="1">
      <c r="A310" s="23"/>
      <c r="B310" s="24"/>
      <c r="C310" s="24"/>
      <c r="D310" s="24"/>
      <c r="E310" s="24"/>
      <c r="F310" s="25"/>
    </row>
    <row r="311" spans="1:6" ht="19.95" customHeight="1" thickBot="1">
      <c r="A311" s="13" t="s">
        <v>6</v>
      </c>
      <c r="B311" s="13" t="s">
        <v>7</v>
      </c>
      <c r="C311" s="13" t="s">
        <v>8</v>
      </c>
      <c r="D311" s="13" t="s">
        <v>9</v>
      </c>
      <c r="E311" s="13" t="s">
        <v>10</v>
      </c>
      <c r="F311" s="13" t="s">
        <v>11</v>
      </c>
    </row>
    <row r="312" spans="1:6" ht="19.95" customHeight="1" thickBot="1">
      <c r="A312" s="73" t="s">
        <v>49</v>
      </c>
      <c r="B312" s="26"/>
      <c r="C312" s="26"/>
      <c r="D312" s="26"/>
      <c r="E312" s="26"/>
      <c r="F312" s="27"/>
    </row>
    <row r="313" spans="1:6" ht="19.95" customHeight="1">
      <c r="A313" s="103" t="s">
        <v>31</v>
      </c>
      <c r="B313" s="26"/>
      <c r="C313" s="26"/>
      <c r="D313" s="26"/>
      <c r="E313" s="26"/>
      <c r="F313" s="27"/>
    </row>
    <row r="314" spans="1:6" ht="19.95" customHeight="1">
      <c r="A314" s="104" t="s">
        <v>32</v>
      </c>
      <c r="B314" s="26">
        <v>2</v>
      </c>
      <c r="C314" s="26">
        <v>0.29499999999999998</v>
      </c>
      <c r="D314" s="26">
        <v>2.25</v>
      </c>
      <c r="E314" s="14">
        <f>D314*C314*B314</f>
        <v>1.3274999999999999</v>
      </c>
      <c r="F314" s="26"/>
    </row>
    <row r="315" spans="1:6" ht="19.95" customHeight="1">
      <c r="A315" s="104" t="s">
        <v>33</v>
      </c>
      <c r="B315" s="26">
        <v>1</v>
      </c>
      <c r="C315" s="26">
        <v>0.26500000000000001</v>
      </c>
      <c r="D315" s="26">
        <v>2.0569999999999999</v>
      </c>
      <c r="E315" s="26">
        <f>D315*C315*B315</f>
        <v>0.54510500000000006</v>
      </c>
      <c r="F315" s="27"/>
    </row>
    <row r="316" spans="1:6" ht="19.95" customHeight="1">
      <c r="A316" s="104" t="s">
        <v>34</v>
      </c>
      <c r="B316" s="26">
        <v>1</v>
      </c>
      <c r="C316" s="26">
        <v>5.5E-2</v>
      </c>
      <c r="D316" s="26">
        <v>2.0569999999999999</v>
      </c>
      <c r="E316" s="14">
        <f>D316*C316*B316</f>
        <v>0.113135</v>
      </c>
      <c r="F316" s="26"/>
    </row>
    <row r="317" spans="1:6" ht="19.95" customHeight="1" thickBot="1">
      <c r="A317" s="104" t="s">
        <v>35</v>
      </c>
      <c r="B317" s="26">
        <v>1</v>
      </c>
      <c r="C317" s="26">
        <v>0.29499999999999998</v>
      </c>
      <c r="D317" s="106">
        <v>2.0569999999999999</v>
      </c>
      <c r="E317" s="107">
        <f>D317*C317*B317</f>
        <v>0.60681499999999999</v>
      </c>
      <c r="F317" s="106"/>
    </row>
    <row r="318" spans="1:6" ht="19.95" customHeight="1" thickBot="1">
      <c r="A318" s="32"/>
      <c r="B318" s="26"/>
      <c r="C318" s="105"/>
      <c r="D318" s="68" t="s">
        <v>13</v>
      </c>
      <c r="E318" s="69">
        <f>SUM(E314:E317)</f>
        <v>2.5925549999999999</v>
      </c>
      <c r="F318" s="76" t="s">
        <v>4</v>
      </c>
    </row>
    <row r="319" spans="1:6" ht="19.95" customHeight="1">
      <c r="A319" s="109"/>
      <c r="B319" s="26"/>
      <c r="C319" s="26"/>
      <c r="D319" s="29"/>
      <c r="E319" s="91"/>
      <c r="F319" s="29"/>
    </row>
    <row r="320" spans="1:6" ht="19.95" customHeight="1">
      <c r="A320" s="110" t="s">
        <v>36</v>
      </c>
      <c r="B320" s="108"/>
      <c r="C320" s="26"/>
      <c r="D320" s="26"/>
      <c r="E320" s="14"/>
      <c r="F320" s="26"/>
    </row>
    <row r="321" spans="1:6" ht="19.95" customHeight="1">
      <c r="A321" s="104" t="s">
        <v>32</v>
      </c>
      <c r="B321" s="26">
        <v>2</v>
      </c>
      <c r="C321" s="26">
        <v>0.3</v>
      </c>
      <c r="D321" s="26">
        <v>2.2200000000000002</v>
      </c>
      <c r="E321" s="14">
        <f>D321*C321*B321</f>
        <v>1.3320000000000001</v>
      </c>
      <c r="F321" s="26"/>
    </row>
    <row r="322" spans="1:6" ht="19.95" customHeight="1">
      <c r="A322" s="104" t="s">
        <v>33</v>
      </c>
      <c r="B322" s="26">
        <v>1</v>
      </c>
      <c r="C322" s="26">
        <v>0.26500000000000001</v>
      </c>
      <c r="D322" s="26">
        <v>1.1000000000000001</v>
      </c>
      <c r="E322" s="14">
        <f t="shared" ref="E322:E324" si="7">D322*C322*B322</f>
        <v>0.29150000000000004</v>
      </c>
      <c r="F322" s="26"/>
    </row>
    <row r="323" spans="1:6" ht="19.95" customHeight="1">
      <c r="A323" s="104" t="s">
        <v>34</v>
      </c>
      <c r="B323" s="26">
        <v>1</v>
      </c>
      <c r="C323" s="26">
        <v>5.5E-2</v>
      </c>
      <c r="D323" s="26">
        <v>1.1000000000000001</v>
      </c>
      <c r="E323" s="14">
        <f t="shared" si="7"/>
        <v>6.0500000000000005E-2</v>
      </c>
      <c r="F323" s="26"/>
    </row>
    <row r="324" spans="1:6" ht="19.95" customHeight="1" thickBot="1">
      <c r="A324" s="104" t="s">
        <v>35</v>
      </c>
      <c r="B324" s="26">
        <v>1</v>
      </c>
      <c r="C324" s="26">
        <v>0.3</v>
      </c>
      <c r="D324" s="106">
        <v>1.1000000000000001</v>
      </c>
      <c r="E324" s="107">
        <f t="shared" si="7"/>
        <v>0.33</v>
      </c>
      <c r="F324" s="106"/>
    </row>
    <row r="325" spans="1:6" ht="19.95" customHeight="1" thickBot="1">
      <c r="A325" s="32"/>
      <c r="B325" s="26"/>
      <c r="C325" s="26"/>
      <c r="D325" s="68" t="s">
        <v>13</v>
      </c>
      <c r="E325" s="69">
        <f>SUM(E321:E324)</f>
        <v>2.0140000000000002</v>
      </c>
      <c r="F325" s="76" t="s">
        <v>4</v>
      </c>
    </row>
    <row r="326" spans="1:6" ht="19.95" customHeight="1">
      <c r="A326" s="28"/>
      <c r="B326" s="26"/>
      <c r="C326" s="26"/>
      <c r="D326" s="26"/>
      <c r="E326" s="27"/>
      <c r="F326" s="27"/>
    </row>
    <row r="327" spans="1:6" ht="19.95" customHeight="1" thickBot="1">
      <c r="A327" s="28"/>
      <c r="B327" s="26"/>
      <c r="C327" s="26"/>
      <c r="D327" s="26"/>
      <c r="E327" s="27"/>
      <c r="F327" s="27"/>
    </row>
    <row r="328" spans="1:6" ht="19.95" customHeight="1" thickBot="1">
      <c r="A328" s="73" t="s">
        <v>51</v>
      </c>
      <c r="B328" s="26"/>
      <c r="C328" s="26"/>
      <c r="D328" s="26"/>
      <c r="E328" s="27"/>
      <c r="F328" s="27"/>
    </row>
    <row r="329" spans="1:6" ht="19.95" customHeight="1">
      <c r="A329" s="117" t="s">
        <v>32</v>
      </c>
      <c r="B329" s="26">
        <v>2</v>
      </c>
      <c r="C329" s="26">
        <v>0.14499999999999999</v>
      </c>
      <c r="D329" s="26">
        <v>1.4</v>
      </c>
      <c r="E329" s="27">
        <f>D329*C329*B329</f>
        <v>0.40599999999999997</v>
      </c>
      <c r="F329" s="27"/>
    </row>
    <row r="330" spans="1:6" ht="19.95" customHeight="1" thickBot="1">
      <c r="A330" s="117" t="s">
        <v>52</v>
      </c>
      <c r="B330" s="26">
        <v>1</v>
      </c>
      <c r="C330" s="26">
        <v>0.14499999999999999</v>
      </c>
      <c r="D330" s="106">
        <v>0.9</v>
      </c>
      <c r="E330" s="119">
        <f>D330*C330*B330</f>
        <v>0.1305</v>
      </c>
      <c r="F330" s="119"/>
    </row>
    <row r="331" spans="1:6" ht="19.95" customHeight="1" thickBot="1">
      <c r="A331" s="39"/>
      <c r="B331" s="26"/>
      <c r="C331" s="105"/>
      <c r="D331" s="68" t="s">
        <v>13</v>
      </c>
      <c r="E331" s="120">
        <f>SUM(E329:E330)</f>
        <v>0.53649999999999998</v>
      </c>
      <c r="F331" s="121" t="s">
        <v>4</v>
      </c>
    </row>
    <row r="332" spans="1:6" ht="19.95" customHeight="1" thickBot="1">
      <c r="A332" s="28"/>
      <c r="B332" s="26"/>
      <c r="C332" s="26"/>
      <c r="D332" s="29"/>
      <c r="E332" s="30"/>
      <c r="F332" s="30"/>
    </row>
    <row r="333" spans="1:6" ht="19.95" customHeight="1" thickBot="1">
      <c r="A333" s="73" t="s">
        <v>53</v>
      </c>
      <c r="B333" s="26"/>
      <c r="C333" s="26"/>
      <c r="D333" s="26"/>
      <c r="E333" s="27"/>
      <c r="F333" s="27"/>
    </row>
    <row r="334" spans="1:6" ht="19.95" customHeight="1">
      <c r="A334" s="117" t="s">
        <v>32</v>
      </c>
      <c r="B334" s="26">
        <v>2</v>
      </c>
      <c r="C334" s="26">
        <v>0.185</v>
      </c>
      <c r="D334" s="26">
        <v>1.335</v>
      </c>
      <c r="E334" s="27">
        <f>D334*C334*B334</f>
        <v>0.49395</v>
      </c>
      <c r="F334" s="27"/>
    </row>
    <row r="335" spans="1:6" ht="19.95" customHeight="1">
      <c r="A335" s="117" t="s">
        <v>52</v>
      </c>
      <c r="B335" s="26">
        <v>1</v>
      </c>
      <c r="C335" s="26">
        <v>0.18</v>
      </c>
      <c r="D335" s="26">
        <v>1.0149999999999999</v>
      </c>
      <c r="E335" s="27">
        <f t="shared" ref="E335:E337" si="8">D335*C335*B335</f>
        <v>0.18269999999999997</v>
      </c>
      <c r="F335" s="27"/>
    </row>
    <row r="336" spans="1:6" ht="19.95" customHeight="1">
      <c r="A336" s="117" t="s">
        <v>54</v>
      </c>
      <c r="B336" s="26">
        <v>2</v>
      </c>
      <c r="C336" s="26">
        <v>0.18</v>
      </c>
      <c r="D336" s="26">
        <v>0.51500000000000001</v>
      </c>
      <c r="E336" s="27">
        <f t="shared" si="8"/>
        <v>0.18540000000000001</v>
      </c>
      <c r="F336" s="27"/>
    </row>
    <row r="337" spans="1:6" ht="19.95" customHeight="1" thickBot="1">
      <c r="A337" s="117" t="s">
        <v>55</v>
      </c>
      <c r="B337" s="26">
        <v>2</v>
      </c>
      <c r="C337" s="26">
        <v>0.18</v>
      </c>
      <c r="D337" s="106">
        <v>0.44</v>
      </c>
      <c r="E337" s="119">
        <f t="shared" si="8"/>
        <v>0.15839999999999999</v>
      </c>
      <c r="F337" s="119"/>
    </row>
    <row r="338" spans="1:6" ht="19.95" customHeight="1" thickBot="1">
      <c r="A338" s="28"/>
      <c r="B338" s="26"/>
      <c r="C338" s="105"/>
      <c r="D338" s="68" t="s">
        <v>13</v>
      </c>
      <c r="E338" s="120">
        <f>SUM(E334:E337)</f>
        <v>1.0204499999999999</v>
      </c>
      <c r="F338" s="121" t="s">
        <v>4</v>
      </c>
    </row>
    <row r="339" spans="1:6" ht="19.95" customHeight="1">
      <c r="A339" s="33"/>
      <c r="B339" s="14"/>
      <c r="C339" s="26"/>
      <c r="D339" s="29"/>
      <c r="E339" s="30"/>
      <c r="F339" s="30"/>
    </row>
    <row r="340" spans="1:6" ht="19.95" customHeight="1">
      <c r="A340" s="38"/>
      <c r="B340" s="14"/>
      <c r="C340" s="26"/>
      <c r="D340" s="26"/>
      <c r="E340" s="27"/>
      <c r="F340" s="27"/>
    </row>
    <row r="341" spans="1:6" ht="19.95" customHeight="1">
      <c r="A341" s="33"/>
      <c r="B341" s="14"/>
      <c r="C341" s="26"/>
      <c r="D341" s="26"/>
      <c r="E341" s="27"/>
      <c r="F341" s="27"/>
    </row>
    <row r="342" spans="1:6" ht="19.95" customHeight="1">
      <c r="A342" s="38"/>
      <c r="B342" s="14"/>
      <c r="C342" s="26"/>
      <c r="D342" s="26"/>
      <c r="E342" s="27"/>
      <c r="F342" s="27"/>
    </row>
    <row r="343" spans="1:6" ht="19.95" customHeight="1">
      <c r="A343" s="33"/>
      <c r="B343" s="14"/>
      <c r="C343" s="14"/>
      <c r="D343" s="14"/>
      <c r="E343" s="14"/>
      <c r="F343" s="14"/>
    </row>
    <row r="344" spans="1:6" ht="19.95" customHeight="1">
      <c r="A344" s="171" t="s">
        <v>5</v>
      </c>
      <c r="B344" s="172"/>
      <c r="C344" s="172"/>
      <c r="D344" s="172"/>
      <c r="E344" s="172"/>
      <c r="F344" s="173"/>
    </row>
    <row r="345" spans="1:6" ht="19.95" customHeight="1">
      <c r="A345" s="18"/>
      <c r="B345" s="19"/>
      <c r="C345" s="19"/>
      <c r="D345" s="19"/>
      <c r="E345" s="20"/>
      <c r="F345" s="21"/>
    </row>
    <row r="346" spans="1:6" ht="19.95" customHeight="1">
      <c r="A346" s="59" t="s">
        <v>12</v>
      </c>
      <c r="E346" s="7" t="s">
        <v>0</v>
      </c>
      <c r="F346" s="8">
        <v>9</v>
      </c>
    </row>
    <row r="347" spans="1:6" ht="19.95" customHeight="1">
      <c r="A347" s="59" t="s">
        <v>57</v>
      </c>
      <c r="F347" s="22"/>
    </row>
    <row r="348" spans="1:6" ht="19.95" customHeight="1">
      <c r="A348" s="23"/>
      <c r="B348" s="24"/>
      <c r="C348" s="24"/>
      <c r="D348" s="24"/>
      <c r="E348" s="24"/>
      <c r="F348" s="25"/>
    </row>
    <row r="349" spans="1:6" ht="19.95" customHeight="1" thickBot="1">
      <c r="A349" s="13" t="s">
        <v>6</v>
      </c>
      <c r="B349" s="13" t="s">
        <v>7</v>
      </c>
      <c r="C349" s="13" t="s">
        <v>8</v>
      </c>
      <c r="D349" s="13" t="s">
        <v>9</v>
      </c>
      <c r="E349" s="13" t="s">
        <v>10</v>
      </c>
      <c r="F349" s="13" t="s">
        <v>11</v>
      </c>
    </row>
    <row r="350" spans="1:6" ht="19.95" customHeight="1" thickBot="1">
      <c r="A350" s="73" t="s">
        <v>16</v>
      </c>
      <c r="B350" s="43"/>
      <c r="C350" s="43"/>
      <c r="D350" s="43"/>
      <c r="E350" s="14"/>
      <c r="F350" s="14"/>
    </row>
    <row r="351" spans="1:6" ht="19.95" customHeight="1">
      <c r="A351" s="118" t="s">
        <v>58</v>
      </c>
      <c r="B351" s="43">
        <v>1</v>
      </c>
      <c r="C351" s="43">
        <v>0.24</v>
      </c>
      <c r="D351" s="43">
        <v>2.7</v>
      </c>
      <c r="E351" s="14">
        <f>D351*C351*B351</f>
        <v>0.64800000000000002</v>
      </c>
      <c r="F351" s="14"/>
    </row>
    <row r="352" spans="1:6" ht="19.95" customHeight="1">
      <c r="A352" s="118" t="s">
        <v>59</v>
      </c>
      <c r="B352" s="26">
        <v>1</v>
      </c>
      <c r="C352" s="26">
        <v>0.24</v>
      </c>
      <c r="D352" s="26">
        <v>2.7</v>
      </c>
      <c r="E352" s="14">
        <f t="shared" ref="E352:E356" si="9">D352*C352*B352</f>
        <v>0.64800000000000002</v>
      </c>
      <c r="F352" s="14"/>
    </row>
    <row r="353" spans="1:6" ht="19.95" customHeight="1">
      <c r="A353" s="117" t="s">
        <v>60</v>
      </c>
      <c r="B353" s="26">
        <v>1</v>
      </c>
      <c r="C353" s="26">
        <v>0.05</v>
      </c>
      <c r="D353" s="26">
        <v>0.30499999999999999</v>
      </c>
      <c r="E353" s="14">
        <f t="shared" si="9"/>
        <v>1.525E-2</v>
      </c>
      <c r="F353" s="14"/>
    </row>
    <row r="354" spans="1:6" ht="19.95" customHeight="1">
      <c r="A354" s="122" t="s">
        <v>61</v>
      </c>
      <c r="B354" s="106">
        <v>4</v>
      </c>
      <c r="C354" s="124">
        <v>0.1</v>
      </c>
      <c r="D354" s="26">
        <v>2.7</v>
      </c>
      <c r="E354" s="14">
        <f t="shared" si="9"/>
        <v>1.08</v>
      </c>
      <c r="F354" s="14"/>
    </row>
    <row r="355" spans="1:6" ht="19.95" customHeight="1">
      <c r="A355" s="118" t="s">
        <v>62</v>
      </c>
      <c r="B355" s="26">
        <v>2</v>
      </c>
      <c r="C355" s="105">
        <v>7.0000000000000007E-2</v>
      </c>
      <c r="D355" s="14">
        <v>0.252</v>
      </c>
      <c r="E355" s="14">
        <f t="shared" si="9"/>
        <v>3.5280000000000006E-2</v>
      </c>
      <c r="F355" s="33"/>
    </row>
    <row r="356" spans="1:6" ht="19.95" customHeight="1" thickBot="1">
      <c r="A356" s="118" t="s">
        <v>63</v>
      </c>
      <c r="B356" s="26">
        <v>2</v>
      </c>
      <c r="C356" s="105">
        <v>7.0000000000000007E-2</v>
      </c>
      <c r="D356" s="106">
        <v>0.51700000000000002</v>
      </c>
      <c r="E356" s="107">
        <f t="shared" si="9"/>
        <v>7.2380000000000014E-2</v>
      </c>
      <c r="F356" s="107"/>
    </row>
    <row r="357" spans="1:6" ht="19.95" customHeight="1" thickBot="1">
      <c r="A357" s="33"/>
      <c r="B357" s="33"/>
      <c r="C357" s="33"/>
      <c r="D357" s="68" t="s">
        <v>13</v>
      </c>
      <c r="E357" s="69">
        <f>SUM(E351:E356)</f>
        <v>2.4989100000000004</v>
      </c>
      <c r="F357" s="70" t="s">
        <v>4</v>
      </c>
    </row>
    <row r="358" spans="1:6" ht="19.95" customHeight="1" thickBot="1">
      <c r="A358" s="74"/>
      <c r="B358" s="33"/>
      <c r="C358" s="33"/>
      <c r="D358" s="33"/>
      <c r="E358" s="33"/>
      <c r="F358" s="33"/>
    </row>
    <row r="359" spans="1:6" ht="19.95" customHeight="1" thickBot="1">
      <c r="A359" s="73" t="s">
        <v>37</v>
      </c>
      <c r="B359" s="123"/>
      <c r="C359" s="123"/>
      <c r="D359" s="123"/>
      <c r="E359" s="91"/>
      <c r="F359" s="91"/>
    </row>
    <row r="360" spans="1:6" ht="19.95" customHeight="1">
      <c r="A360" s="118" t="s">
        <v>58</v>
      </c>
      <c r="B360" s="43">
        <v>1</v>
      </c>
      <c r="C360" s="43">
        <v>0.24</v>
      </c>
      <c r="D360" s="43">
        <v>2.75</v>
      </c>
      <c r="E360" s="14">
        <f>D360*C360*B360</f>
        <v>0.65999999999999992</v>
      </c>
      <c r="F360" s="14"/>
    </row>
    <row r="361" spans="1:6" ht="19.95" customHeight="1">
      <c r="A361" s="118" t="s">
        <v>59</v>
      </c>
      <c r="B361" s="26">
        <v>1</v>
      </c>
      <c r="C361" s="26">
        <v>0.24</v>
      </c>
      <c r="D361" s="26">
        <v>2.64</v>
      </c>
      <c r="E361" s="14">
        <f t="shared" ref="E361:E365" si="10">D361*C361*B361</f>
        <v>0.63360000000000005</v>
      </c>
      <c r="F361" s="14"/>
    </row>
    <row r="362" spans="1:6" ht="19.95" customHeight="1">
      <c r="A362" s="117" t="s">
        <v>60</v>
      </c>
      <c r="B362" s="26">
        <v>1</v>
      </c>
      <c r="C362" s="26">
        <v>0.05</v>
      </c>
      <c r="D362" s="26">
        <v>0.255</v>
      </c>
      <c r="E362" s="14">
        <f t="shared" si="10"/>
        <v>1.2750000000000001E-2</v>
      </c>
      <c r="F362" s="14"/>
    </row>
    <row r="363" spans="1:6" ht="19.95" customHeight="1">
      <c r="A363" s="117" t="s">
        <v>61</v>
      </c>
      <c r="B363" s="26">
        <v>4</v>
      </c>
      <c r="C363" s="105">
        <v>0.1</v>
      </c>
      <c r="D363" s="26">
        <v>2.64</v>
      </c>
      <c r="E363" s="14">
        <f t="shared" si="10"/>
        <v>1.056</v>
      </c>
      <c r="F363" s="14"/>
    </row>
    <row r="364" spans="1:6" ht="19.95" customHeight="1">
      <c r="A364" s="118" t="s">
        <v>64</v>
      </c>
      <c r="B364" s="26">
        <v>2</v>
      </c>
      <c r="C364" s="105">
        <v>7.0000000000000007E-2</v>
      </c>
      <c r="D364" s="14">
        <v>0.252</v>
      </c>
      <c r="E364" s="14">
        <f t="shared" si="10"/>
        <v>3.5280000000000006E-2</v>
      </c>
      <c r="F364" s="14"/>
    </row>
    <row r="365" spans="1:6" ht="19.95" customHeight="1" thickBot="1">
      <c r="A365" s="118" t="s">
        <v>63</v>
      </c>
      <c r="B365" s="26">
        <v>2</v>
      </c>
      <c r="C365" s="105">
        <v>7.0000000000000007E-2</v>
      </c>
      <c r="D365" s="106">
        <v>0.51700000000000002</v>
      </c>
      <c r="E365" s="107">
        <f t="shared" si="10"/>
        <v>7.2380000000000014E-2</v>
      </c>
      <c r="F365" s="107"/>
    </row>
    <row r="366" spans="1:6" ht="19.95" customHeight="1" thickBot="1">
      <c r="A366" s="28"/>
      <c r="B366" s="26"/>
      <c r="C366" s="105"/>
      <c r="D366" s="68" t="s">
        <v>13</v>
      </c>
      <c r="E366" s="69">
        <f>SUM(E360:E365)</f>
        <v>2.4700100000000003</v>
      </c>
      <c r="F366" s="70" t="s">
        <v>4</v>
      </c>
    </row>
    <row r="367" spans="1:6" ht="19.95" customHeight="1" thickBot="1">
      <c r="A367" s="28"/>
      <c r="B367" s="26"/>
      <c r="C367" s="26"/>
      <c r="D367" s="29"/>
      <c r="E367" s="91"/>
      <c r="F367" s="91"/>
    </row>
    <row r="368" spans="1:6" ht="19.95" customHeight="1" thickBot="1">
      <c r="A368" s="73" t="s">
        <v>46</v>
      </c>
      <c r="B368" s="123"/>
      <c r="C368" s="123"/>
      <c r="D368" s="123"/>
      <c r="E368" s="91"/>
      <c r="F368" s="91"/>
    </row>
    <row r="369" spans="1:6" ht="19.95" customHeight="1">
      <c r="A369" s="118" t="s">
        <v>58</v>
      </c>
      <c r="B369" s="43">
        <v>1</v>
      </c>
      <c r="C369" s="43">
        <v>0.24</v>
      </c>
      <c r="D369" s="43">
        <v>2.76</v>
      </c>
      <c r="E369" s="14">
        <f>D369*C369*B369</f>
        <v>0.66239999999999988</v>
      </c>
      <c r="F369" s="14"/>
    </row>
    <row r="370" spans="1:6" ht="19.95" customHeight="1">
      <c r="A370" s="118" t="s">
        <v>59</v>
      </c>
      <c r="B370" s="26">
        <v>1</v>
      </c>
      <c r="C370" s="26">
        <v>0.24</v>
      </c>
      <c r="D370" s="26">
        <v>2.67</v>
      </c>
      <c r="E370" s="14">
        <f t="shared" ref="E370:E374" si="11">D370*C370*B370</f>
        <v>0.64079999999999993</v>
      </c>
      <c r="F370" s="14"/>
    </row>
    <row r="371" spans="1:6" ht="19.95" customHeight="1">
      <c r="A371" s="117" t="s">
        <v>60</v>
      </c>
      <c r="B371" s="26">
        <v>1</v>
      </c>
      <c r="C371" s="26">
        <v>0.05</v>
      </c>
      <c r="D371" s="26">
        <v>0.45500000000000002</v>
      </c>
      <c r="E371" s="14">
        <f t="shared" si="11"/>
        <v>2.2750000000000003E-2</v>
      </c>
      <c r="F371" s="14"/>
    </row>
    <row r="372" spans="1:6" ht="19.95" customHeight="1">
      <c r="A372" s="117" t="s">
        <v>61</v>
      </c>
      <c r="B372" s="26">
        <v>4</v>
      </c>
      <c r="C372" s="105">
        <v>0.1</v>
      </c>
      <c r="D372" s="26">
        <v>2.67</v>
      </c>
      <c r="E372" s="14">
        <f t="shared" si="11"/>
        <v>1.0680000000000001</v>
      </c>
      <c r="F372" s="14"/>
    </row>
    <row r="373" spans="1:6" ht="19.95" customHeight="1">
      <c r="A373" s="118" t="s">
        <v>64</v>
      </c>
      <c r="B373" s="26">
        <v>2</v>
      </c>
      <c r="C373" s="105">
        <v>7.0000000000000007E-2</v>
      </c>
      <c r="D373" s="14">
        <v>0.252</v>
      </c>
      <c r="E373" s="14">
        <f t="shared" si="11"/>
        <v>3.5280000000000006E-2</v>
      </c>
      <c r="F373" s="14"/>
    </row>
    <row r="374" spans="1:6" ht="19.95" customHeight="1" thickBot="1">
      <c r="A374" s="118" t="s">
        <v>63</v>
      </c>
      <c r="B374" s="26">
        <v>2</v>
      </c>
      <c r="C374" s="105">
        <v>7.0000000000000007E-2</v>
      </c>
      <c r="D374" s="106">
        <v>0.51700000000000002</v>
      </c>
      <c r="E374" s="107">
        <f t="shared" si="11"/>
        <v>7.2380000000000014E-2</v>
      </c>
      <c r="F374" s="107"/>
    </row>
    <row r="375" spans="1:6" ht="19.95" customHeight="1" thickBot="1">
      <c r="A375" s="28"/>
      <c r="B375" s="26"/>
      <c r="C375" s="105"/>
      <c r="D375" s="68" t="s">
        <v>13</v>
      </c>
      <c r="E375" s="69">
        <f>SUM(E369:E374)</f>
        <v>2.5016100000000003</v>
      </c>
      <c r="F375" s="70" t="s">
        <v>4</v>
      </c>
    </row>
    <row r="376" spans="1:6" ht="19.95" customHeight="1">
      <c r="A376" s="37"/>
      <c r="B376" s="14"/>
      <c r="C376" s="14"/>
      <c r="D376" s="26"/>
      <c r="E376" s="14"/>
      <c r="F376" s="14"/>
    </row>
    <row r="377" spans="1:6" ht="19.95" customHeight="1">
      <c r="A377" s="37"/>
      <c r="B377" s="14"/>
      <c r="C377" s="14"/>
      <c r="D377" s="14"/>
      <c r="E377" s="14"/>
      <c r="F377" s="14"/>
    </row>
    <row r="378" spans="1:6" ht="19.95" customHeight="1">
      <c r="A378" s="37"/>
      <c r="B378" s="14"/>
      <c r="C378" s="14"/>
      <c r="D378" s="14"/>
      <c r="E378" s="14"/>
      <c r="F378" s="14"/>
    </row>
    <row r="379" spans="1:6" ht="19.95" customHeight="1">
      <c r="A379" s="37"/>
      <c r="B379" s="14"/>
      <c r="C379" s="14"/>
      <c r="D379" s="14"/>
      <c r="E379" s="14"/>
      <c r="F379" s="14"/>
    </row>
    <row r="380" spans="1:6" ht="19.95" customHeight="1">
      <c r="A380" s="38"/>
      <c r="B380" s="14"/>
      <c r="C380" s="14"/>
      <c r="D380" s="14"/>
      <c r="E380" s="14"/>
      <c r="F380" s="14"/>
    </row>
    <row r="381" spans="1:6" ht="19.95" customHeight="1">
      <c r="A381" s="33"/>
      <c r="B381" s="14"/>
      <c r="C381" s="14"/>
      <c r="D381" s="14"/>
      <c r="E381" s="14"/>
      <c r="F381" s="14"/>
    </row>
    <row r="382" spans="1:6" ht="19.95" customHeight="1">
      <c r="A382" s="171" t="s">
        <v>5</v>
      </c>
      <c r="B382" s="172"/>
      <c r="C382" s="172"/>
      <c r="D382" s="172"/>
      <c r="E382" s="172"/>
      <c r="F382" s="173"/>
    </row>
    <row r="383" spans="1:6" ht="19.95" customHeight="1">
      <c r="A383" s="18"/>
      <c r="B383" s="19"/>
      <c r="C383" s="19"/>
      <c r="D383" s="19"/>
      <c r="E383" s="20"/>
      <c r="F383" s="21"/>
    </row>
    <row r="384" spans="1:6" ht="19.95" customHeight="1">
      <c r="A384" s="59" t="s">
        <v>12</v>
      </c>
      <c r="E384" s="7" t="s">
        <v>0</v>
      </c>
      <c r="F384" s="8">
        <v>10</v>
      </c>
    </row>
    <row r="385" spans="1:6" ht="19.95" customHeight="1">
      <c r="A385" s="59" t="s">
        <v>57</v>
      </c>
      <c r="F385" s="22"/>
    </row>
    <row r="386" spans="1:6" ht="19.95" customHeight="1">
      <c r="A386" s="23"/>
      <c r="B386" s="24"/>
      <c r="C386" s="24"/>
      <c r="D386" s="24"/>
      <c r="E386" s="24"/>
      <c r="F386" s="25"/>
    </row>
    <row r="387" spans="1:6" ht="19.95" customHeight="1" thickBot="1">
      <c r="A387" s="13" t="s">
        <v>6</v>
      </c>
      <c r="B387" s="13" t="s">
        <v>7</v>
      </c>
      <c r="C387" s="13" t="s">
        <v>8</v>
      </c>
      <c r="D387" s="13" t="s">
        <v>9</v>
      </c>
      <c r="E387" s="13" t="s">
        <v>10</v>
      </c>
      <c r="F387" s="13" t="s">
        <v>11</v>
      </c>
    </row>
    <row r="388" spans="1:6" ht="19.95" customHeight="1" thickBot="1">
      <c r="A388" s="73" t="s">
        <v>49</v>
      </c>
      <c r="B388" s="123"/>
      <c r="C388" s="123"/>
      <c r="D388" s="123"/>
      <c r="E388" s="91"/>
      <c r="F388" s="91"/>
    </row>
    <row r="389" spans="1:6" ht="19.95" customHeight="1">
      <c r="A389" s="118" t="s">
        <v>58</v>
      </c>
      <c r="B389" s="43">
        <v>1</v>
      </c>
      <c r="C389" s="43">
        <v>0.24</v>
      </c>
      <c r="D389" s="43">
        <v>2.78</v>
      </c>
      <c r="E389" s="14">
        <f>D389*C389*B389</f>
        <v>0.6671999999999999</v>
      </c>
      <c r="F389" s="14"/>
    </row>
    <row r="390" spans="1:6" ht="19.95" customHeight="1">
      <c r="A390" s="118" t="s">
        <v>59</v>
      </c>
      <c r="B390" s="26">
        <v>1</v>
      </c>
      <c r="C390" s="26">
        <v>0.24</v>
      </c>
      <c r="D390" s="26">
        <v>2.6549999999999998</v>
      </c>
      <c r="E390" s="14">
        <f t="shared" ref="E390:E394" si="12">D390*C390*B390</f>
        <v>0.63719999999999988</v>
      </c>
      <c r="F390" s="14"/>
    </row>
    <row r="391" spans="1:6" ht="19.95" customHeight="1">
      <c r="A391" s="117" t="s">
        <v>60</v>
      </c>
      <c r="B391" s="26">
        <v>1</v>
      </c>
      <c r="C391" s="26">
        <v>0.05</v>
      </c>
      <c r="D391" s="26">
        <v>0.40500000000000003</v>
      </c>
      <c r="E391" s="14">
        <f t="shared" si="12"/>
        <v>2.0250000000000004E-2</v>
      </c>
      <c r="F391" s="14"/>
    </row>
    <row r="392" spans="1:6" ht="19.95" customHeight="1">
      <c r="A392" s="117" t="s">
        <v>61</v>
      </c>
      <c r="B392" s="26">
        <v>4</v>
      </c>
      <c r="C392" s="105">
        <v>0.1</v>
      </c>
      <c r="D392" s="26">
        <v>2.6549999999999998</v>
      </c>
      <c r="E392" s="14">
        <f t="shared" si="12"/>
        <v>1.0620000000000001</v>
      </c>
      <c r="F392" s="14"/>
    </row>
    <row r="393" spans="1:6" ht="19.95" customHeight="1">
      <c r="A393" s="118" t="s">
        <v>64</v>
      </c>
      <c r="B393" s="26">
        <v>2</v>
      </c>
      <c r="C393" s="105">
        <v>7.0000000000000007E-2</v>
      </c>
      <c r="D393" s="14">
        <v>0.252</v>
      </c>
      <c r="E393" s="14">
        <f t="shared" si="12"/>
        <v>3.5280000000000006E-2</v>
      </c>
      <c r="F393" s="14"/>
    </row>
    <row r="394" spans="1:6" ht="19.95" customHeight="1" thickBot="1">
      <c r="A394" s="118" t="s">
        <v>63</v>
      </c>
      <c r="B394" s="26">
        <v>2</v>
      </c>
      <c r="C394" s="105">
        <v>7.0000000000000007E-2</v>
      </c>
      <c r="D394" s="106">
        <v>0.51700000000000002</v>
      </c>
      <c r="E394" s="107">
        <f t="shared" si="12"/>
        <v>7.2380000000000014E-2</v>
      </c>
      <c r="F394" s="107"/>
    </row>
    <row r="395" spans="1:6" ht="19.95" customHeight="1" thickBot="1">
      <c r="A395" s="28"/>
      <c r="B395" s="26"/>
      <c r="C395" s="105"/>
      <c r="D395" s="68" t="s">
        <v>13</v>
      </c>
      <c r="E395" s="69">
        <f>SUM(E389:E394)</f>
        <v>2.49431</v>
      </c>
      <c r="F395" s="70" t="s">
        <v>4</v>
      </c>
    </row>
    <row r="396" spans="1:6" ht="19.95" customHeight="1">
      <c r="A396" s="28"/>
      <c r="B396" s="26"/>
      <c r="C396" s="26"/>
      <c r="D396" s="26"/>
      <c r="E396" s="27"/>
      <c r="F396" s="27"/>
    </row>
    <row r="397" spans="1:6" ht="19.95" customHeight="1">
      <c r="A397" s="28"/>
      <c r="B397" s="26"/>
      <c r="C397" s="26"/>
      <c r="D397" s="26"/>
      <c r="E397" s="27"/>
      <c r="F397" s="27"/>
    </row>
    <row r="398" spans="1:6" ht="19.95" customHeight="1">
      <c r="A398" s="28"/>
      <c r="B398" s="26"/>
      <c r="C398" s="26"/>
      <c r="D398" s="26"/>
      <c r="E398" s="27"/>
      <c r="F398" s="27"/>
    </row>
    <row r="399" spans="1:6" ht="19.95" customHeight="1">
      <c r="A399" s="28"/>
      <c r="B399" s="26"/>
      <c r="C399" s="26"/>
      <c r="D399" s="26"/>
      <c r="E399" s="27"/>
      <c r="F399" s="27"/>
    </row>
    <row r="400" spans="1:6" ht="19.95" customHeight="1">
      <c r="A400" s="28"/>
      <c r="B400" s="26"/>
      <c r="C400" s="26"/>
      <c r="D400" s="26"/>
      <c r="E400" s="27"/>
      <c r="F400" s="27"/>
    </row>
    <row r="401" spans="1:6" ht="19.95" customHeight="1">
      <c r="A401" s="28"/>
      <c r="B401" s="26"/>
      <c r="C401" s="26"/>
      <c r="D401" s="26"/>
      <c r="E401" s="27"/>
      <c r="F401" s="27"/>
    </row>
    <row r="402" spans="1:6" ht="19.95" customHeight="1">
      <c r="A402" s="28"/>
      <c r="B402" s="26"/>
      <c r="C402" s="26"/>
      <c r="D402" s="26"/>
      <c r="E402" s="27"/>
      <c r="F402" s="27"/>
    </row>
    <row r="403" spans="1:6" ht="19.95" customHeight="1">
      <c r="A403" s="28"/>
      <c r="B403" s="26"/>
      <c r="C403" s="26"/>
      <c r="D403" s="26"/>
      <c r="E403" s="27"/>
      <c r="F403" s="27"/>
    </row>
    <row r="404" spans="1:6" ht="19.95" customHeight="1">
      <c r="A404" s="28"/>
      <c r="B404" s="26"/>
      <c r="C404" s="26"/>
      <c r="D404" s="26"/>
      <c r="E404" s="27"/>
      <c r="F404" s="27"/>
    </row>
    <row r="405" spans="1:6" ht="19.95" customHeight="1">
      <c r="A405" s="28"/>
      <c r="B405" s="26"/>
      <c r="C405" s="26"/>
      <c r="D405" s="26"/>
      <c r="E405" s="27"/>
      <c r="F405" s="27"/>
    </row>
    <row r="406" spans="1:6" ht="19.95" customHeight="1">
      <c r="A406" s="28"/>
      <c r="B406" s="26"/>
      <c r="C406" s="26"/>
      <c r="D406" s="26"/>
      <c r="E406" s="27"/>
      <c r="F406" s="27"/>
    </row>
    <row r="407" spans="1:6" ht="19.95" customHeight="1">
      <c r="A407" s="28"/>
      <c r="B407" s="26"/>
      <c r="C407" s="26"/>
      <c r="D407" s="26"/>
      <c r="E407" s="27"/>
      <c r="F407" s="27"/>
    </row>
    <row r="408" spans="1:6" ht="19.95" customHeight="1">
      <c r="A408" s="28"/>
      <c r="B408" s="26"/>
      <c r="C408" s="26"/>
      <c r="D408" s="26"/>
      <c r="E408" s="27"/>
      <c r="F408" s="27"/>
    </row>
    <row r="409" spans="1:6" ht="19.95" customHeight="1">
      <c r="A409" s="28"/>
      <c r="B409" s="26"/>
      <c r="C409" s="26"/>
      <c r="D409" s="26"/>
      <c r="E409" s="27"/>
      <c r="F409" s="27"/>
    </row>
    <row r="410" spans="1:6" ht="19.95" customHeight="1">
      <c r="A410" s="28"/>
      <c r="B410" s="26"/>
      <c r="C410" s="26"/>
      <c r="D410" s="26"/>
      <c r="E410" s="27"/>
      <c r="F410" s="27"/>
    </row>
    <row r="411" spans="1:6" ht="19.95" customHeight="1">
      <c r="A411" s="37"/>
      <c r="B411" s="27"/>
      <c r="C411" s="27"/>
      <c r="D411" s="26"/>
      <c r="E411" s="27"/>
      <c r="F411" s="27"/>
    </row>
    <row r="412" spans="1:6" ht="19.95" customHeight="1">
      <c r="A412" s="38"/>
      <c r="B412" s="27"/>
      <c r="C412" s="27"/>
      <c r="D412" s="26"/>
      <c r="E412" s="27"/>
      <c r="F412" s="27"/>
    </row>
    <row r="413" spans="1:6" ht="19.95" customHeight="1">
      <c r="A413" s="38"/>
      <c r="B413" s="27"/>
      <c r="C413" s="27"/>
      <c r="D413" s="26"/>
      <c r="E413" s="27"/>
      <c r="F413" s="27"/>
    </row>
    <row r="414" spans="1:6" ht="19.95" customHeight="1">
      <c r="A414" s="37"/>
      <c r="B414" s="27"/>
      <c r="C414" s="27"/>
      <c r="D414" s="26"/>
      <c r="E414" s="27"/>
      <c r="F414" s="27"/>
    </row>
    <row r="415" spans="1:6" ht="19.95" customHeight="1">
      <c r="A415" s="37"/>
      <c r="B415" s="27"/>
      <c r="C415" s="27"/>
      <c r="D415" s="26"/>
      <c r="E415" s="27"/>
      <c r="F415" s="27"/>
    </row>
    <row r="416" spans="1:6" ht="19.95" customHeight="1">
      <c r="A416" s="37"/>
      <c r="B416" s="27"/>
      <c r="C416" s="27"/>
      <c r="D416" s="26"/>
      <c r="E416" s="27"/>
      <c r="F416" s="27"/>
    </row>
    <row r="417" spans="1:6" ht="19.95" customHeight="1">
      <c r="A417" s="37"/>
      <c r="B417" s="27"/>
      <c r="C417" s="27"/>
      <c r="D417" s="26"/>
      <c r="E417" s="27"/>
      <c r="F417" s="27"/>
    </row>
    <row r="418" spans="1:6" ht="19.95" customHeight="1">
      <c r="A418" s="38"/>
      <c r="B418" s="27"/>
      <c r="C418" s="27"/>
      <c r="D418" s="27"/>
      <c r="E418" s="27"/>
      <c r="F418" s="27"/>
    </row>
    <row r="419" spans="1:6" ht="19.95" customHeight="1">
      <c r="A419" s="33"/>
      <c r="B419" s="27"/>
      <c r="C419" s="27"/>
      <c r="D419" s="27"/>
      <c r="E419" s="27"/>
      <c r="F419" s="27"/>
    </row>
    <row r="420" spans="1:6" ht="19.95" customHeight="1">
      <c r="A420" s="171" t="s">
        <v>5</v>
      </c>
      <c r="B420" s="172"/>
      <c r="C420" s="172"/>
      <c r="D420" s="172"/>
      <c r="E420" s="172"/>
      <c r="F420" s="173"/>
    </row>
    <row r="421" spans="1:6" ht="19.95" customHeight="1">
      <c r="A421" s="18"/>
      <c r="B421" s="19"/>
      <c r="C421" s="19"/>
      <c r="D421" s="19"/>
      <c r="E421" s="20"/>
      <c r="F421" s="21"/>
    </row>
    <row r="422" spans="1:6" ht="19.95" customHeight="1">
      <c r="A422" s="59" t="s">
        <v>12</v>
      </c>
      <c r="E422" s="7" t="s">
        <v>0</v>
      </c>
      <c r="F422" s="8">
        <v>10</v>
      </c>
    </row>
    <row r="423" spans="1:6" ht="19.95" customHeight="1">
      <c r="A423" s="59" t="s">
        <v>65</v>
      </c>
      <c r="F423" s="22"/>
    </row>
    <row r="424" spans="1:6" ht="19.95" customHeight="1">
      <c r="A424" s="23"/>
      <c r="B424" s="24"/>
      <c r="C424" s="24"/>
      <c r="D424" s="24"/>
      <c r="E424" s="24"/>
      <c r="F424" s="25"/>
    </row>
    <row r="425" spans="1:6" ht="19.95" customHeight="1" thickBot="1">
      <c r="A425" s="72" t="s">
        <v>6</v>
      </c>
      <c r="B425" s="72" t="s">
        <v>7</v>
      </c>
      <c r="C425" s="72" t="s">
        <v>8</v>
      </c>
      <c r="D425" s="72" t="s">
        <v>9</v>
      </c>
      <c r="E425" s="72" t="s">
        <v>10</v>
      </c>
      <c r="F425" s="72" t="s">
        <v>11</v>
      </c>
    </row>
    <row r="426" spans="1:6" ht="19.95" customHeight="1" thickBot="1">
      <c r="A426" s="129" t="s">
        <v>72</v>
      </c>
      <c r="B426" s="71"/>
      <c r="C426" s="33"/>
      <c r="D426" s="33"/>
      <c r="E426" s="33"/>
      <c r="F426" s="57"/>
    </row>
    <row r="427" spans="1:6" ht="19.95" customHeight="1">
      <c r="A427" s="133" t="s">
        <v>68</v>
      </c>
      <c r="B427" s="127">
        <v>1</v>
      </c>
      <c r="C427" s="127">
        <v>2.9</v>
      </c>
      <c r="D427" s="127">
        <v>1.0249999999999999</v>
      </c>
      <c r="E427" s="57">
        <f>D427*C427*B427</f>
        <v>2.9724999999999997</v>
      </c>
      <c r="F427" s="57"/>
    </row>
    <row r="428" spans="1:6" ht="19.95" customHeight="1">
      <c r="A428" s="134" t="s">
        <v>69</v>
      </c>
      <c r="B428" s="127">
        <v>1</v>
      </c>
      <c r="C428" s="127">
        <v>2.89</v>
      </c>
      <c r="D428" s="127">
        <v>1.0249999999999999</v>
      </c>
      <c r="E428" s="57">
        <f>D428*C428*B428</f>
        <v>2.96225</v>
      </c>
      <c r="F428" s="33"/>
    </row>
    <row r="429" spans="1:6" ht="19.95" customHeight="1">
      <c r="A429" s="134" t="s">
        <v>70</v>
      </c>
      <c r="B429" s="127">
        <v>1</v>
      </c>
      <c r="C429" s="127">
        <v>2.895</v>
      </c>
      <c r="D429" s="127">
        <v>1.0249999999999999</v>
      </c>
      <c r="E429" s="57">
        <f>D429*C429*B429</f>
        <v>2.9673749999999997</v>
      </c>
      <c r="F429" s="57"/>
    </row>
    <row r="430" spans="1:6" ht="19.95" customHeight="1" thickBot="1">
      <c r="A430" s="134" t="s">
        <v>71</v>
      </c>
      <c r="B430" s="127">
        <v>1</v>
      </c>
      <c r="C430" s="127">
        <v>2.91</v>
      </c>
      <c r="D430" s="130">
        <v>1.0249999999999999</v>
      </c>
      <c r="E430" s="128">
        <f>D430*C430*B430</f>
        <v>2.9827499999999998</v>
      </c>
      <c r="F430" s="82"/>
    </row>
    <row r="431" spans="1:6" ht="19.95" customHeight="1" thickBot="1">
      <c r="A431" s="83"/>
      <c r="B431" s="52"/>
      <c r="C431" s="55"/>
      <c r="D431" s="116" t="s">
        <v>13</v>
      </c>
      <c r="E431" s="69">
        <f>SUM(E427:E430)</f>
        <v>11.884874999999997</v>
      </c>
      <c r="F431" s="70" t="s">
        <v>4</v>
      </c>
    </row>
    <row r="432" spans="1:6" ht="19.95" customHeight="1" thickBot="1">
      <c r="A432" s="83"/>
      <c r="B432" s="127"/>
      <c r="C432" s="127"/>
      <c r="D432" s="125"/>
      <c r="E432" s="126"/>
      <c r="F432" s="126"/>
    </row>
    <row r="433" spans="1:6" ht="19.95" customHeight="1" thickBot="1">
      <c r="A433" s="129" t="s">
        <v>73</v>
      </c>
      <c r="B433" s="74"/>
      <c r="C433" s="74"/>
      <c r="D433" s="74"/>
      <c r="E433" s="74"/>
      <c r="F433" s="74"/>
    </row>
    <row r="434" spans="1:6" ht="19.95" customHeight="1">
      <c r="A434" s="131" t="s">
        <v>74</v>
      </c>
      <c r="B434" s="33"/>
      <c r="C434" s="33"/>
      <c r="D434" s="33"/>
      <c r="E434" s="33"/>
      <c r="F434" s="33"/>
    </row>
    <row r="435" spans="1:6" ht="19.95" customHeight="1">
      <c r="A435" s="83" t="s">
        <v>66</v>
      </c>
      <c r="B435" s="52">
        <v>1</v>
      </c>
      <c r="C435" s="52">
        <v>2.0499999999999998</v>
      </c>
      <c r="D435" s="52">
        <v>1.94</v>
      </c>
      <c r="E435" s="57">
        <f>D435*C435*B435</f>
        <v>3.9769999999999994</v>
      </c>
      <c r="F435" s="57"/>
    </row>
    <row r="436" spans="1:6" ht="19.95" customHeight="1" thickBot="1">
      <c r="A436" s="83" t="s">
        <v>67</v>
      </c>
      <c r="B436" s="52">
        <v>1</v>
      </c>
      <c r="C436" s="52">
        <v>2.0550000000000002</v>
      </c>
      <c r="D436" s="56">
        <v>1.94</v>
      </c>
      <c r="E436" s="128">
        <f>D436*C436*B436</f>
        <v>3.9867000000000004</v>
      </c>
      <c r="F436" s="128"/>
    </row>
    <row r="437" spans="1:6" ht="19.95" customHeight="1" thickBot="1">
      <c r="A437" s="62"/>
      <c r="B437" s="52"/>
      <c r="C437" s="55"/>
      <c r="D437" s="68" t="s">
        <v>13</v>
      </c>
      <c r="E437" s="69">
        <f>SUM(E435:E436)</f>
        <v>7.9636999999999993</v>
      </c>
      <c r="F437" s="70" t="s">
        <v>4</v>
      </c>
    </row>
    <row r="438" spans="1:6" ht="19.95" customHeight="1">
      <c r="A438" s="132" t="s">
        <v>77</v>
      </c>
      <c r="B438" s="52"/>
      <c r="C438" s="52"/>
      <c r="D438" s="52"/>
      <c r="E438" s="53"/>
      <c r="F438" s="53"/>
    </row>
    <row r="439" spans="1:6" ht="19.95" customHeight="1">
      <c r="A439" s="83" t="s">
        <v>66</v>
      </c>
      <c r="B439" s="52">
        <v>1</v>
      </c>
      <c r="C439" s="52">
        <v>2</v>
      </c>
      <c r="D439" s="52">
        <v>1.94</v>
      </c>
      <c r="E439" s="57">
        <f>D439*C439*B439</f>
        <v>3.88</v>
      </c>
      <c r="F439" s="57"/>
    </row>
    <row r="440" spans="1:6" ht="19.95" customHeight="1" thickBot="1">
      <c r="A440" s="83" t="s">
        <v>67</v>
      </c>
      <c r="B440" s="52">
        <v>1</v>
      </c>
      <c r="C440" s="52">
        <v>2.0499999999999998</v>
      </c>
      <c r="D440" s="56">
        <v>1.94</v>
      </c>
      <c r="E440" s="128">
        <f>D440*C440*B440</f>
        <v>3.9769999999999994</v>
      </c>
      <c r="F440" s="128"/>
    </row>
    <row r="441" spans="1:6" ht="19.95" customHeight="1" thickBot="1">
      <c r="A441" s="62"/>
      <c r="B441" s="52"/>
      <c r="C441" s="55"/>
      <c r="D441" s="68" t="s">
        <v>13</v>
      </c>
      <c r="E441" s="69">
        <f>SUM(E439:E440)</f>
        <v>7.8569999999999993</v>
      </c>
      <c r="F441" s="70" t="s">
        <v>4</v>
      </c>
    </row>
    <row r="442" spans="1:6" ht="19.95" customHeight="1">
      <c r="A442" s="132" t="s">
        <v>76</v>
      </c>
      <c r="B442" s="81"/>
      <c r="C442" s="81"/>
      <c r="D442" s="81"/>
      <c r="E442" s="81"/>
      <c r="F442" s="81"/>
    </row>
    <row r="443" spans="1:6" ht="19.95" customHeight="1">
      <c r="A443" s="83" t="s">
        <v>66</v>
      </c>
      <c r="B443" s="52">
        <v>1</v>
      </c>
      <c r="C443" s="52">
        <v>2.0550000000000002</v>
      </c>
      <c r="D443" s="52">
        <v>1.7949999999999999</v>
      </c>
      <c r="E443" s="57">
        <f>D443*C443*B443</f>
        <v>3.6887250000000003</v>
      </c>
      <c r="F443" s="57"/>
    </row>
    <row r="444" spans="1:6" ht="19.95" customHeight="1" thickBot="1">
      <c r="A444" s="83" t="s">
        <v>67</v>
      </c>
      <c r="B444" s="52">
        <v>1</v>
      </c>
      <c r="C444" s="52">
        <v>1.1100000000000001</v>
      </c>
      <c r="D444" s="56">
        <v>1.7949999999999999</v>
      </c>
      <c r="E444" s="128">
        <f>D444*C444*B444</f>
        <v>1.9924500000000001</v>
      </c>
      <c r="F444" s="128"/>
    </row>
    <row r="445" spans="1:6" ht="19.95" customHeight="1" thickBot="1">
      <c r="A445" s="62"/>
      <c r="B445" s="52"/>
      <c r="C445" s="55"/>
      <c r="D445" s="68" t="s">
        <v>13</v>
      </c>
      <c r="E445" s="69">
        <f>SUM(E443:E444)</f>
        <v>5.6811750000000005</v>
      </c>
      <c r="F445" s="70" t="s">
        <v>4</v>
      </c>
    </row>
    <row r="446" spans="1:6" ht="19.95" customHeight="1">
      <c r="A446" s="132" t="s">
        <v>75</v>
      </c>
      <c r="B446" s="81"/>
      <c r="C446" s="81"/>
      <c r="D446" s="81"/>
      <c r="E446" s="81"/>
      <c r="F446" s="81"/>
    </row>
    <row r="447" spans="1:6" ht="19.95" customHeight="1">
      <c r="A447" s="83" t="s">
        <v>66</v>
      </c>
      <c r="B447" s="52">
        <v>1</v>
      </c>
      <c r="C447" s="52">
        <v>2.0550000000000002</v>
      </c>
      <c r="D447" s="52">
        <v>1.94</v>
      </c>
      <c r="E447" s="57">
        <f>D447*C447*B447</f>
        <v>3.9867000000000004</v>
      </c>
      <c r="F447" s="57"/>
    </row>
    <row r="448" spans="1:6" ht="19.95" customHeight="1" thickBot="1">
      <c r="A448" s="83" t="s">
        <v>67</v>
      </c>
      <c r="B448" s="52">
        <v>1</v>
      </c>
      <c r="C448" s="52">
        <v>1.1000000000000001</v>
      </c>
      <c r="D448" s="56">
        <v>1.79</v>
      </c>
      <c r="E448" s="128">
        <f>D448*C448*B448</f>
        <v>1.9690000000000003</v>
      </c>
      <c r="F448" s="128"/>
    </row>
    <row r="449" spans="1:6" ht="19.95" customHeight="1" thickBot="1">
      <c r="A449" s="62"/>
      <c r="B449" s="52"/>
      <c r="C449" s="55"/>
      <c r="D449" s="68" t="s">
        <v>13</v>
      </c>
      <c r="E449" s="69">
        <f>SUM(E447:E448)</f>
        <v>5.9557000000000002</v>
      </c>
      <c r="F449" s="70" t="s">
        <v>4</v>
      </c>
    </row>
    <row r="450" spans="1:6" ht="19.95" customHeight="1">
      <c r="A450" s="38"/>
      <c r="B450" s="27"/>
      <c r="C450" s="27"/>
      <c r="D450" s="26"/>
      <c r="E450" s="27"/>
      <c r="F450" s="27"/>
    </row>
    <row r="451" spans="1:6" ht="19.95" customHeight="1">
      <c r="A451" s="38"/>
      <c r="B451" s="27"/>
      <c r="C451" s="27"/>
      <c r="D451" s="26"/>
      <c r="E451" s="27"/>
      <c r="F451" s="27"/>
    </row>
    <row r="452" spans="1:6" ht="19.95" customHeight="1">
      <c r="A452" s="37"/>
      <c r="B452" s="27"/>
      <c r="C452" s="27"/>
      <c r="D452" s="26"/>
      <c r="E452" s="27"/>
      <c r="F452" s="27"/>
    </row>
    <row r="453" spans="1:6" ht="19.95" customHeight="1">
      <c r="A453" s="37"/>
      <c r="B453" s="27"/>
      <c r="C453" s="27"/>
      <c r="D453" s="26"/>
      <c r="E453" s="27"/>
      <c r="F453" s="27"/>
    </row>
    <row r="454" spans="1:6" ht="19.95" customHeight="1">
      <c r="A454" s="37"/>
      <c r="B454" s="27"/>
      <c r="C454" s="27"/>
      <c r="D454" s="26"/>
      <c r="E454" s="27"/>
      <c r="F454" s="27"/>
    </row>
    <row r="455" spans="1:6" ht="19.95" customHeight="1">
      <c r="A455" s="37"/>
      <c r="B455" s="27"/>
      <c r="C455" s="27"/>
      <c r="D455" s="26"/>
      <c r="E455" s="27"/>
      <c r="F455" s="27"/>
    </row>
    <row r="456" spans="1:6" ht="19.95" customHeight="1">
      <c r="A456" s="38"/>
      <c r="B456" s="27"/>
      <c r="C456" s="27"/>
      <c r="D456" s="27"/>
      <c r="E456" s="27"/>
      <c r="F456" s="27"/>
    </row>
    <row r="457" spans="1:6" ht="19.95" customHeight="1">
      <c r="A457" s="33"/>
      <c r="B457" s="27"/>
      <c r="C457" s="27"/>
      <c r="D457" s="27"/>
      <c r="E457" s="27"/>
      <c r="F457" s="27"/>
    </row>
    <row r="458" spans="1:6" ht="19.95" customHeight="1">
      <c r="A458" s="171" t="s">
        <v>5</v>
      </c>
      <c r="B458" s="172"/>
      <c r="C458" s="172"/>
      <c r="D458" s="172"/>
      <c r="E458" s="172"/>
      <c r="F458" s="173"/>
    </row>
    <row r="459" spans="1:6" ht="19.95" customHeight="1">
      <c r="A459" s="2"/>
      <c r="B459" s="3"/>
      <c r="C459" s="3"/>
      <c r="D459" s="3"/>
      <c r="E459" s="3"/>
      <c r="F459" s="4"/>
    </row>
    <row r="460" spans="1:6" ht="19.95" customHeight="1">
      <c r="A460" s="59" t="s">
        <v>12</v>
      </c>
      <c r="B460" s="6"/>
      <c r="C460" s="6"/>
      <c r="D460" s="6"/>
      <c r="E460" s="7" t="s">
        <v>0</v>
      </c>
      <c r="F460" s="58" t="s">
        <v>14</v>
      </c>
    </row>
    <row r="461" spans="1:6" ht="19.95" customHeight="1">
      <c r="A461" s="5"/>
      <c r="B461" s="6"/>
      <c r="C461" s="6"/>
      <c r="D461" s="6"/>
      <c r="E461" s="6"/>
      <c r="F461" s="9"/>
    </row>
    <row r="462" spans="1:6" ht="19.95" customHeight="1">
      <c r="A462" s="59" t="s">
        <v>79</v>
      </c>
      <c r="B462" s="6"/>
      <c r="C462" s="6"/>
      <c r="D462" s="6"/>
      <c r="E462" s="6"/>
      <c r="F462" s="9"/>
    </row>
    <row r="463" spans="1:6" ht="19.95" customHeight="1">
      <c r="A463" s="10"/>
      <c r="B463" s="11"/>
      <c r="C463" s="11"/>
      <c r="D463" s="11"/>
      <c r="E463" s="11"/>
      <c r="F463" s="12"/>
    </row>
    <row r="464" spans="1:6" ht="19.95" customHeight="1" thickBot="1">
      <c r="A464" s="190" t="s">
        <v>1</v>
      </c>
      <c r="B464" s="190"/>
      <c r="C464" s="72" t="s">
        <v>2</v>
      </c>
      <c r="D464" s="190" t="s">
        <v>3</v>
      </c>
      <c r="E464" s="190"/>
      <c r="F464" s="190"/>
    </row>
    <row r="465" spans="1:10" ht="19.95" customHeight="1">
      <c r="A465" s="191" t="s">
        <v>72</v>
      </c>
      <c r="B465" s="192"/>
      <c r="C465" s="87"/>
      <c r="D465" s="86"/>
      <c r="E465" s="87"/>
      <c r="F465" s="88"/>
    </row>
    <row r="466" spans="1:10" ht="19.95" customHeight="1">
      <c r="A466" s="193" t="s">
        <v>74</v>
      </c>
      <c r="B466" s="193"/>
      <c r="C466" s="86"/>
      <c r="D466" s="86"/>
      <c r="E466" s="87">
        <f>SUM(E427)</f>
        <v>2.9724999999999997</v>
      </c>
      <c r="F466" s="88"/>
    </row>
    <row r="467" spans="1:10" ht="19.95" customHeight="1">
      <c r="A467" s="193" t="s">
        <v>77</v>
      </c>
      <c r="B467" s="193"/>
      <c r="C467" s="86"/>
      <c r="D467" s="86"/>
      <c r="E467" s="87">
        <f>SUM(E428)</f>
        <v>2.96225</v>
      </c>
      <c r="F467" s="88"/>
      <c r="J467" s="60"/>
    </row>
    <row r="468" spans="1:10" ht="19.95" customHeight="1">
      <c r="A468" s="193" t="s">
        <v>76</v>
      </c>
      <c r="B468" s="193"/>
      <c r="C468" s="86"/>
      <c r="D468" s="135"/>
      <c r="E468" s="89">
        <f>SUM(E429)</f>
        <v>2.9673749999999997</v>
      </c>
      <c r="F468" s="90"/>
    </row>
    <row r="469" spans="1:10" ht="19.95" customHeight="1" thickBot="1">
      <c r="A469" s="198" t="s">
        <v>75</v>
      </c>
      <c r="B469" s="199"/>
      <c r="C469" s="86"/>
      <c r="D469" s="152"/>
      <c r="E469" s="151">
        <f>SUM(E430)</f>
        <v>2.9827499999999998</v>
      </c>
      <c r="F469" s="153"/>
    </row>
    <row r="470" spans="1:10" ht="19.95" customHeight="1" thickBot="1">
      <c r="A470" s="200"/>
      <c r="B470" s="201"/>
      <c r="C470" s="86"/>
      <c r="D470" s="77" t="s">
        <v>13</v>
      </c>
      <c r="E470" s="78">
        <f>SUM(E466:E469)</f>
        <v>11.884874999999997</v>
      </c>
      <c r="F470" s="79" t="s">
        <v>4</v>
      </c>
    </row>
    <row r="471" spans="1:10" ht="19.95" customHeight="1" thickBot="1">
      <c r="A471" s="189"/>
      <c r="B471" s="189"/>
      <c r="C471" s="86"/>
      <c r="D471" s="158" t="s">
        <v>78</v>
      </c>
      <c r="E471" s="92">
        <v>21</v>
      </c>
      <c r="F471" s="150"/>
    </row>
    <row r="472" spans="1:10" ht="19.95" customHeight="1" thickBot="1">
      <c r="A472" s="194"/>
      <c r="B472" s="195"/>
      <c r="C472" s="46"/>
      <c r="D472" s="77" t="s">
        <v>13</v>
      </c>
      <c r="E472" s="78">
        <f>E471*E470</f>
        <v>249.58237499999996</v>
      </c>
      <c r="F472" s="79" t="s">
        <v>4</v>
      </c>
    </row>
    <row r="473" spans="1:10" ht="19.95" customHeight="1" thickBot="1">
      <c r="A473" s="183"/>
      <c r="B473" s="184"/>
      <c r="C473" s="15"/>
      <c r="D473" s="136"/>
      <c r="E473" s="137"/>
      <c r="F473" s="138"/>
    </row>
    <row r="474" spans="1:10" ht="19.95" customHeight="1" thickBot="1">
      <c r="A474" s="202" t="s">
        <v>73</v>
      </c>
      <c r="B474" s="203"/>
      <c r="C474" s="17"/>
      <c r="D474" s="46"/>
      <c r="E474" s="47"/>
      <c r="F474" s="48"/>
    </row>
    <row r="475" spans="1:10" ht="19.95" customHeight="1">
      <c r="A475" s="193" t="s">
        <v>74</v>
      </c>
      <c r="B475" s="193"/>
      <c r="C475" s="14"/>
      <c r="D475" s="15"/>
      <c r="E475" s="159">
        <f>SUM(E437)</f>
        <v>7.9636999999999993</v>
      </c>
      <c r="F475" s="17"/>
    </row>
    <row r="476" spans="1:10" ht="19.95" customHeight="1">
      <c r="A476" s="193" t="s">
        <v>77</v>
      </c>
      <c r="B476" s="193"/>
      <c r="C476" s="14"/>
      <c r="D476" s="142"/>
      <c r="E476" s="160">
        <f>SUM(E441)</f>
        <v>7.8569999999999993</v>
      </c>
      <c r="F476" s="21"/>
    </row>
    <row r="477" spans="1:10" ht="19.95" customHeight="1">
      <c r="A477" s="193" t="s">
        <v>76</v>
      </c>
      <c r="B477" s="193"/>
      <c r="C477" s="15"/>
      <c r="D477" s="93"/>
      <c r="E477" s="147">
        <f>SUM(E445)</f>
        <v>5.6811750000000005</v>
      </c>
      <c r="F477" s="95"/>
    </row>
    <row r="478" spans="1:10" ht="19.95" customHeight="1" thickBot="1">
      <c r="A478" s="198" t="s">
        <v>75</v>
      </c>
      <c r="B478" s="199"/>
      <c r="C478" s="15"/>
      <c r="D478" s="161"/>
      <c r="E478" s="156">
        <f>SUM(E449)</f>
        <v>5.9557000000000002</v>
      </c>
      <c r="F478" s="162"/>
    </row>
    <row r="479" spans="1:10" ht="19.95" customHeight="1" thickBot="1">
      <c r="A479" s="189"/>
      <c r="B479" s="189"/>
      <c r="C479" s="15"/>
      <c r="D479" s="77" t="s">
        <v>13</v>
      </c>
      <c r="E479" s="78">
        <f>SUM(E475:E478)</f>
        <v>27.457574999999999</v>
      </c>
      <c r="F479" s="79" t="s">
        <v>4</v>
      </c>
    </row>
    <row r="480" spans="1:10" ht="19.95" customHeight="1" thickBot="1">
      <c r="A480" s="169"/>
      <c r="B480" s="170"/>
      <c r="C480" s="14"/>
      <c r="D480" s="140" t="s">
        <v>78</v>
      </c>
      <c r="E480" s="141">
        <v>21</v>
      </c>
      <c r="F480" s="8"/>
    </row>
    <row r="481" spans="1:6" ht="19.95" customHeight="1" thickBot="1">
      <c r="A481" s="169"/>
      <c r="B481" s="170"/>
      <c r="C481" s="15"/>
      <c r="D481" s="77" t="s">
        <v>13</v>
      </c>
      <c r="E481" s="78">
        <f>E480*E479</f>
        <v>576.60907499999996</v>
      </c>
      <c r="F481" s="79" t="s">
        <v>4</v>
      </c>
    </row>
    <row r="482" spans="1:6" ht="19.95" customHeight="1">
      <c r="A482" s="183"/>
      <c r="B482" s="184"/>
      <c r="C482" s="107"/>
      <c r="D482" s="49"/>
      <c r="E482" s="141"/>
      <c r="F482" s="8"/>
    </row>
    <row r="483" spans="1:6" ht="19.95" customHeight="1">
      <c r="A483" s="177"/>
      <c r="B483" s="178"/>
      <c r="C483" s="57"/>
      <c r="D483" s="93"/>
      <c r="E483" s="94"/>
      <c r="F483" s="95"/>
    </row>
    <row r="484" spans="1:6" ht="19.95" customHeight="1">
      <c r="A484" s="194"/>
      <c r="B484" s="195"/>
      <c r="C484" s="91"/>
      <c r="D484" s="140"/>
      <c r="E484" s="141"/>
      <c r="F484" s="8"/>
    </row>
    <row r="485" spans="1:6" ht="19.95" customHeight="1">
      <c r="A485" s="169"/>
      <c r="B485" s="170"/>
      <c r="C485" s="15"/>
      <c r="D485" s="93"/>
      <c r="E485" s="94"/>
      <c r="F485" s="95"/>
    </row>
    <row r="486" spans="1:6" ht="19.95" customHeight="1">
      <c r="A486" s="169"/>
      <c r="B486" s="170"/>
      <c r="C486" s="14"/>
      <c r="D486" s="46"/>
      <c r="E486" s="47"/>
      <c r="F486" s="48"/>
    </row>
    <row r="487" spans="1:6" ht="19.95" customHeight="1">
      <c r="A487" s="196"/>
      <c r="B487" s="197"/>
      <c r="C487" s="14"/>
      <c r="D487" s="44"/>
      <c r="E487" s="45"/>
      <c r="F487" s="21"/>
    </row>
    <row r="488" spans="1:6" ht="19.95" customHeight="1">
      <c r="A488" s="167"/>
      <c r="B488" s="170"/>
      <c r="C488" s="15"/>
      <c r="D488" s="142"/>
      <c r="E488" s="147"/>
      <c r="F488" s="51"/>
    </row>
    <row r="489" spans="1:6" ht="19.95" customHeight="1">
      <c r="A489" s="169"/>
      <c r="B489" s="170"/>
      <c r="C489" s="14"/>
      <c r="D489" s="135"/>
      <c r="E489" s="151"/>
      <c r="F489" s="90"/>
    </row>
    <row r="490" spans="1:6" ht="19.95" customHeight="1">
      <c r="A490" s="169"/>
      <c r="B490" s="170"/>
      <c r="C490" s="15"/>
      <c r="D490" s="93"/>
      <c r="E490" s="50"/>
      <c r="F490" s="95"/>
    </row>
    <row r="491" spans="1:6" ht="19.95" customHeight="1">
      <c r="A491" s="167"/>
      <c r="B491" s="170"/>
      <c r="C491" s="14"/>
      <c r="D491" s="46"/>
      <c r="E491" s="47"/>
      <c r="F491" s="48"/>
    </row>
    <row r="492" spans="1:6" ht="19.95" customHeight="1">
      <c r="A492" s="204"/>
      <c r="B492" s="204"/>
      <c r="C492" s="14"/>
      <c r="D492" s="142"/>
      <c r="E492" s="45"/>
      <c r="F492" s="21"/>
    </row>
    <row r="493" spans="1:6" ht="19.95" customHeight="1">
      <c r="A493" s="163"/>
      <c r="B493" s="164"/>
      <c r="C493" s="15"/>
      <c r="D493" s="93"/>
      <c r="E493" s="94"/>
      <c r="F493" s="95"/>
    </row>
    <row r="494" spans="1:6" ht="19.95" customHeight="1">
      <c r="A494" s="205"/>
      <c r="B494" s="206"/>
      <c r="C494" s="107"/>
      <c r="D494" s="49"/>
      <c r="E494" s="141"/>
      <c r="F494" s="8"/>
    </row>
    <row r="495" spans="1:6" ht="19.95" customHeight="1">
      <c r="A495" s="207"/>
      <c r="B495" s="178"/>
      <c r="C495" s="93"/>
      <c r="D495" s="93"/>
      <c r="E495" s="94"/>
      <c r="F495" s="95"/>
    </row>
    <row r="496" spans="1:6" ht="19.95" customHeight="1">
      <c r="A496" s="179" t="s">
        <v>5</v>
      </c>
      <c r="B496" s="179"/>
      <c r="C496" s="179"/>
      <c r="D496" s="179"/>
      <c r="E496" s="179"/>
      <c r="F496" s="179"/>
    </row>
  </sheetData>
  <mergeCells count="79">
    <mergeCell ref="A496:F496"/>
    <mergeCell ref="A491:B491"/>
    <mergeCell ref="A492:B492"/>
    <mergeCell ref="A493:B493"/>
    <mergeCell ref="A494:B494"/>
    <mergeCell ref="A495:B495"/>
    <mergeCell ref="A486:B486"/>
    <mergeCell ref="A487:B487"/>
    <mergeCell ref="A488:B488"/>
    <mergeCell ref="A489:B489"/>
    <mergeCell ref="A490:B490"/>
    <mergeCell ref="A481:B481"/>
    <mergeCell ref="A482:B482"/>
    <mergeCell ref="A483:B483"/>
    <mergeCell ref="A484:B484"/>
    <mergeCell ref="A485:B485"/>
    <mergeCell ref="A476:B476"/>
    <mergeCell ref="A477:B477"/>
    <mergeCell ref="A478:B478"/>
    <mergeCell ref="A479:B479"/>
    <mergeCell ref="A480:B480"/>
    <mergeCell ref="A471:B471"/>
    <mergeCell ref="A472:B472"/>
    <mergeCell ref="A473:B473"/>
    <mergeCell ref="A474:B474"/>
    <mergeCell ref="A475:B475"/>
    <mergeCell ref="A466:B466"/>
    <mergeCell ref="A467:B467"/>
    <mergeCell ref="A468:B468"/>
    <mergeCell ref="A469:B469"/>
    <mergeCell ref="A470:B470"/>
    <mergeCell ref="A458:F458"/>
    <mergeCell ref="A464:B464"/>
    <mergeCell ref="D464:F464"/>
    <mergeCell ref="A465:B465"/>
    <mergeCell ref="A6:B6"/>
    <mergeCell ref="D6:F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37:B37"/>
    <mergeCell ref="A38:F38"/>
    <mergeCell ref="A27:B27"/>
    <mergeCell ref="A28:B28"/>
    <mergeCell ref="A22:B22"/>
    <mergeCell ref="A23:B23"/>
    <mergeCell ref="A24:B24"/>
    <mergeCell ref="A25:B25"/>
    <mergeCell ref="A26:B26"/>
    <mergeCell ref="A78:F78"/>
    <mergeCell ref="A116:F116"/>
    <mergeCell ref="A154:F154"/>
    <mergeCell ref="A192:F192"/>
    <mergeCell ref="A230:F230"/>
    <mergeCell ref="A268:F268"/>
    <mergeCell ref="A306:F306"/>
    <mergeCell ref="A344:F344"/>
    <mergeCell ref="A382:F382"/>
    <mergeCell ref="A420:F420"/>
    <mergeCell ref="A36:B36"/>
    <mergeCell ref="A35:B35"/>
    <mergeCell ref="A29:B29"/>
    <mergeCell ref="A34:B34"/>
    <mergeCell ref="A33:B33"/>
    <mergeCell ref="A32:B32"/>
    <mergeCell ref="A31:B31"/>
    <mergeCell ref="A30:B30"/>
  </mergeCells>
  <pageMargins left="0.196527777777778" right="0.196527777777778" top="0.196527777777778" bottom="0.196527777777778" header="0.29861111111111099" footer="0.29861111111111099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 KALIKA ENT</dc:creator>
  <cp:lastModifiedBy>Komal Shinde</cp:lastModifiedBy>
  <cp:lastPrinted>2025-10-18T14:10:58Z</cp:lastPrinted>
  <dcterms:created xsi:type="dcterms:W3CDTF">2025-08-13T07:54:00Z</dcterms:created>
  <dcterms:modified xsi:type="dcterms:W3CDTF">2025-10-20T09:35:38Z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2FB5BBD69C754CB2AD88D9A4622C4BA6_11</vt:lpwstr>
  </property>
  <property fmtid="{D5CDD505-2E9C-101B-9397-08002B2CF9AE}" pid="3" name="KSOProductBuildVer">
    <vt:lpwstr>1033-12.2.0.22549</vt:lpwstr>
  </property>
</Properties>
</file>