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ABH TREELAND\G - WING (ABH TREELAND)\"/>
    </mc:Choice>
  </mc:AlternateContent>
  <xr:revisionPtr revIDLastSave="0" documentId="8_{6F0DFBCB-BEFD-4EA6-8D24-7D3BC33E3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2" l="1"/>
  <c r="E29" i="2"/>
  <c r="E28" i="2"/>
  <c r="E25" i="2"/>
  <c r="E24" i="2"/>
  <c r="E23" i="2"/>
  <c r="E20" i="2"/>
  <c r="E19" i="2"/>
  <c r="E18" i="2"/>
  <c r="E15" i="2"/>
  <c r="E14" i="2"/>
  <c r="E13" i="2"/>
  <c r="F299" i="2"/>
  <c r="E298" i="2"/>
  <c r="F297" i="2"/>
  <c r="F296" i="2"/>
  <c r="E295" i="2"/>
  <c r="F294" i="2"/>
  <c r="E293" i="2"/>
  <c r="E292" i="2"/>
  <c r="E291" i="2"/>
  <c r="E290" i="2"/>
  <c r="F284" i="2"/>
  <c r="E283" i="2"/>
  <c r="F282" i="2"/>
  <c r="F281" i="2"/>
  <c r="E280" i="2"/>
  <c r="E276" i="2"/>
  <c r="E277" i="2"/>
  <c r="E278" i="2"/>
  <c r="F279" i="2"/>
  <c r="E275" i="2"/>
  <c r="E329" i="2"/>
  <c r="E328" i="2"/>
  <c r="E325" i="2"/>
  <c r="E324" i="2"/>
  <c r="E323" i="2"/>
  <c r="E317" i="2"/>
  <c r="E322" i="2"/>
  <c r="E321" i="2"/>
  <c r="E316" i="2"/>
  <c r="E315" i="2"/>
  <c r="E314" i="2"/>
  <c r="E313" i="2"/>
  <c r="E264" i="2"/>
  <c r="E263" i="2"/>
  <c r="E261" i="2"/>
  <c r="E260" i="2"/>
  <c r="E259" i="2"/>
  <c r="E258" i="2"/>
  <c r="E257" i="2"/>
  <c r="E252" i="2"/>
  <c r="E251" i="2"/>
  <c r="E250" i="2"/>
  <c r="E249" i="2"/>
  <c r="E248" i="2"/>
  <c r="E247" i="2"/>
  <c r="E244" i="2"/>
  <c r="E243" i="2"/>
  <c r="E238" i="2"/>
  <c r="E239" i="2"/>
  <c r="E240" i="2"/>
  <c r="E241" i="2"/>
  <c r="E242" i="2"/>
  <c r="E237" i="2"/>
  <c r="E228" i="2"/>
  <c r="E227" i="2"/>
  <c r="E226" i="2"/>
  <c r="E225" i="2"/>
  <c r="E224" i="2"/>
  <c r="E223" i="2"/>
  <c r="E222" i="2"/>
  <c r="E221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1" i="2"/>
  <c r="E202" i="2"/>
  <c r="E203" i="2"/>
  <c r="E204" i="2"/>
  <c r="E200" i="2"/>
  <c r="F183" i="2"/>
  <c r="F182" i="2"/>
  <c r="E181" i="2"/>
  <c r="E179" i="2"/>
  <c r="E178" i="2"/>
  <c r="E177" i="2"/>
  <c r="F176" i="2"/>
  <c r="F175" i="2"/>
  <c r="F174" i="2"/>
  <c r="F173" i="2"/>
  <c r="F172" i="2"/>
  <c r="E171" i="2"/>
  <c r="E169" i="2"/>
  <c r="E167" i="2"/>
  <c r="E166" i="2"/>
  <c r="E165" i="2"/>
  <c r="F164" i="2"/>
  <c r="F163" i="2"/>
  <c r="F162" i="2"/>
  <c r="E161" i="2"/>
  <c r="E132" i="2"/>
  <c r="E131" i="2"/>
  <c r="E126" i="2"/>
  <c r="E127" i="2"/>
  <c r="E128" i="2"/>
  <c r="E129" i="2"/>
  <c r="E125" i="2"/>
  <c r="E113" i="2"/>
  <c r="E112" i="2"/>
  <c r="E111" i="2"/>
  <c r="E110" i="2"/>
  <c r="E109" i="2"/>
  <c r="E108" i="2"/>
  <c r="E107" i="2"/>
  <c r="E106" i="2"/>
  <c r="E105" i="2"/>
  <c r="E104" i="2"/>
  <c r="E98" i="2"/>
  <c r="E97" i="2"/>
  <c r="E96" i="2"/>
  <c r="E95" i="2"/>
  <c r="E86" i="2"/>
  <c r="E87" i="2"/>
  <c r="E88" i="2"/>
  <c r="E89" i="2"/>
  <c r="E90" i="2"/>
  <c r="E91" i="2"/>
  <c r="E92" i="2"/>
  <c r="E93" i="2"/>
  <c r="E94" i="2"/>
  <c r="E85" i="2"/>
  <c r="F67" i="2"/>
  <c r="F66" i="2"/>
  <c r="E65" i="2"/>
  <c r="F63" i="2"/>
  <c r="F62" i="2"/>
  <c r="E61" i="2"/>
  <c r="E60" i="2"/>
  <c r="F59" i="2"/>
  <c r="E58" i="2"/>
  <c r="E56" i="2"/>
  <c r="F55" i="2"/>
  <c r="F54" i="2"/>
  <c r="F53" i="2"/>
  <c r="E52" i="2"/>
  <c r="F50" i="2"/>
  <c r="F49" i="2"/>
  <c r="E48" i="2"/>
  <c r="E47" i="2"/>
  <c r="F46" i="2"/>
  <c r="E45" i="2"/>
  <c r="E114" i="2" l="1"/>
  <c r="E285" i="2"/>
  <c r="E287" i="2" s="1"/>
  <c r="F285" i="2"/>
  <c r="F300" i="2"/>
  <c r="E326" i="2"/>
  <c r="E229" i="2"/>
  <c r="F184" i="2"/>
  <c r="E69" i="2"/>
  <c r="E318" i="2"/>
  <c r="F69" i="2"/>
  <c r="E184" i="2"/>
  <c r="E186" i="2" s="1"/>
  <c r="E9" i="2" s="1"/>
  <c r="E266" i="2"/>
  <c r="E99" i="2"/>
  <c r="E101" i="2" s="1"/>
  <c r="E133" i="2"/>
  <c r="E330" i="2"/>
  <c r="E300" i="2"/>
  <c r="E302" i="2" s="1"/>
  <c r="E71" i="2" l="1"/>
  <c r="E8" i="2" s="1"/>
  <c r="E10" i="2" s="1"/>
</calcChain>
</file>

<file path=xl/sharedStrings.xml><?xml version="1.0" encoding="utf-8"?>
<sst xmlns="http://schemas.openxmlformats.org/spreadsheetml/2006/main" count="335" uniqueCount="143">
  <si>
    <t xml:space="preserve">Page No :- </t>
  </si>
  <si>
    <t xml:space="preserve">Particular </t>
  </si>
  <si>
    <t>Page No.</t>
  </si>
  <si>
    <t xml:space="preserve">Qty </t>
  </si>
  <si>
    <t>SQM</t>
  </si>
  <si>
    <t xml:space="preserve">Summary :- </t>
  </si>
  <si>
    <t>Particular</t>
  </si>
  <si>
    <t>Nos</t>
  </si>
  <si>
    <t>Length</t>
  </si>
  <si>
    <t>Height</t>
  </si>
  <si>
    <t>Qty</t>
  </si>
  <si>
    <t>Deduct</t>
  </si>
  <si>
    <t>Summary :-</t>
  </si>
  <si>
    <t>B</t>
  </si>
  <si>
    <t>Site Name :- ABH TREELAND "G" WING</t>
  </si>
  <si>
    <t>ABH TREELAND "G" WING</t>
  </si>
  <si>
    <r>
      <rPr>
        <b/>
        <u/>
        <sz val="14"/>
        <color theme="1"/>
        <rFont val="Calibri"/>
        <family val="2"/>
      </rPr>
      <t>West Wall</t>
    </r>
    <r>
      <rPr>
        <b/>
        <sz val="14"/>
        <color theme="1"/>
        <rFont val="Calibri"/>
        <family val="2"/>
      </rPr>
      <t xml:space="preserve"> :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</si>
  <si>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Window (1 x 21)</t>
    </r>
  </si>
  <si>
    <t>Add Wall Ver. Jamb (1 x 21)</t>
  </si>
  <si>
    <t>Add Wall T &amp; B Hor. Jamb (2 x 21)</t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</si>
  <si>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Beam (2 x 21)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</si>
  <si>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Corner Jamb (1 x 21)</t>
    </r>
  </si>
  <si>
    <r>
      <rPr>
        <b/>
        <u/>
        <sz val="14"/>
        <color theme="1"/>
        <rFont val="Calibri"/>
        <family val="2"/>
      </rPr>
      <t>South Wall</t>
    </r>
    <r>
      <rPr>
        <b/>
        <sz val="14"/>
        <color theme="1"/>
        <rFont val="Calibri"/>
        <family val="2"/>
      </rPr>
      <t xml:space="preserve"> :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</si>
  <si>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East Window (1 x 21)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</si>
  <si>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West Window (1 x 21)</t>
    </r>
  </si>
  <si>
    <t>Add Hor. Jamb (1 x 21)</t>
  </si>
  <si>
    <r>
      <rPr>
        <b/>
        <u/>
        <sz val="14"/>
        <color theme="1"/>
        <rFont val="Calibri"/>
        <family val="2"/>
      </rPr>
      <t>East Wall</t>
    </r>
    <r>
      <rPr>
        <b/>
        <sz val="14"/>
        <color theme="1"/>
        <rFont val="Calibri"/>
        <family val="2"/>
      </rPr>
      <t xml:space="preserve"> :</t>
    </r>
  </si>
  <si>
    <r>
      <rPr>
        <b/>
        <u/>
        <sz val="14"/>
        <color theme="1"/>
        <rFont val="Calibri"/>
        <family val="2"/>
      </rPr>
      <t>North Wall</t>
    </r>
    <r>
      <rPr>
        <b/>
        <sz val="14"/>
        <color theme="1"/>
        <rFont val="Calibri"/>
        <family val="2"/>
      </rPr>
      <t xml:space="preserve"> :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</si>
  <si>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Jamb (2 x 21)</t>
    </r>
  </si>
  <si>
    <t>TOTAL</t>
  </si>
  <si>
    <r>
      <t xml:space="preserve">Summary :- "Apex Paint" - </t>
    </r>
    <r>
      <rPr>
        <b/>
        <u/>
        <sz val="14"/>
        <color theme="1"/>
        <rFont val="Calibri"/>
        <family val="2"/>
      </rPr>
      <t xml:space="preserve">South Side Ventilation Duct </t>
    </r>
    <r>
      <rPr>
        <b/>
        <sz val="14"/>
        <color theme="1"/>
        <rFont val="Calibri"/>
        <family val="2"/>
      </rPr>
      <t>- {PVC Pipes}</t>
    </r>
  </si>
  <si>
    <t>South Side Ventilation Duct - {PVC Pipes}</t>
  </si>
  <si>
    <t>Pipe No. 1</t>
  </si>
  <si>
    <t>Mid Pipe No. 2</t>
  </si>
  <si>
    <t>Pipe No. 3</t>
  </si>
  <si>
    <t>Pipe No. 4</t>
  </si>
  <si>
    <t>Pipe No. 5</t>
  </si>
  <si>
    <t>Cross Pipe</t>
  </si>
  <si>
    <t>Tukda Pipe No.1</t>
  </si>
  <si>
    <t>Tukda Pipe No.2</t>
  </si>
  <si>
    <t>Perpendicular PVC Pipe No. 1</t>
  </si>
  <si>
    <t>Perpendicular PVC Pipe No. 2</t>
  </si>
  <si>
    <t>PVC Bend Pipe</t>
  </si>
  <si>
    <t>PVC Mini Bend Pipe</t>
  </si>
  <si>
    <t>PVC Pipes</t>
  </si>
  <si>
    <t>L Shape PVC Pipes</t>
  </si>
  <si>
    <t>South Side Ventilation Duct "WALL"</t>
  </si>
  <si>
    <t>x</t>
  </si>
  <si>
    <t>Wall</t>
  </si>
  <si>
    <t>West Right Side</t>
  </si>
  <si>
    <t>PVC Pipe No. 1</t>
  </si>
  <si>
    <t>PVC Pipe No. 2</t>
  </si>
  <si>
    <t>Cross Pipe No. 1</t>
  </si>
  <si>
    <t>Cross Pipe No. 2</t>
  </si>
  <si>
    <t>Bend Mini Pipe</t>
  </si>
  <si>
    <t xml:space="preserve">Additional Right Side Pipe </t>
  </si>
  <si>
    <t xml:space="preserve">Additional Left Side Pipe </t>
  </si>
  <si>
    <t>Additional Right Side Pipe East</t>
  </si>
  <si>
    <t>South Wall Mid PVC Pipe</t>
  </si>
  <si>
    <t>Y Shape Pipe</t>
  </si>
  <si>
    <t>PVC Pipes Terrace To Half End</t>
  </si>
  <si>
    <t>East - West Wall :</t>
  </si>
  <si>
    <t>Pipe 1:</t>
  </si>
  <si>
    <t>Pipe 2:</t>
  </si>
  <si>
    <t>Pipe 3:</t>
  </si>
  <si>
    <t>Pipe 4:</t>
  </si>
  <si>
    <t>Pipe 5:</t>
  </si>
  <si>
    <t>North Wall :</t>
  </si>
  <si>
    <t>Pipe</t>
  </si>
  <si>
    <t>Box Pipe :</t>
  </si>
  <si>
    <r>
      <t xml:space="preserve">Summary :- "Apex Paint" - </t>
    </r>
    <r>
      <rPr>
        <b/>
        <u/>
        <sz val="14"/>
        <color theme="1"/>
        <rFont val="Calibri"/>
        <family val="2"/>
      </rPr>
      <t xml:space="preserve">South Side Ventilation Duct </t>
    </r>
    <r>
      <rPr>
        <b/>
        <sz val="14"/>
        <color theme="1"/>
        <rFont val="Calibri"/>
        <family val="2"/>
      </rPr>
      <t>- {Wall}</t>
    </r>
  </si>
  <si>
    <r>
      <t xml:space="preserve">Summary :- "Apex Paint" - </t>
    </r>
    <r>
      <rPr>
        <b/>
        <u/>
        <sz val="14"/>
        <color theme="1"/>
        <rFont val="Calibri"/>
        <family val="2"/>
      </rPr>
      <t xml:space="preserve">North Side Ventilation Duct </t>
    </r>
    <r>
      <rPr>
        <b/>
        <sz val="14"/>
        <color theme="1"/>
        <rFont val="Calibri"/>
        <family val="2"/>
      </rPr>
      <t>- {Wall}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</si>
  <si>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Bathroom Window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</si>
  <si>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</t>
    </r>
  </si>
  <si>
    <t>Deduct -</t>
  </si>
  <si>
    <t>Add T &amp; B Hor. Jamb</t>
  </si>
  <si>
    <t>Add T &amp; B Hor. Jamb (2x21)</t>
  </si>
  <si>
    <t>Add Ver. Jamb No. 1</t>
  </si>
  <si>
    <t>Add Ver. Jamb No. 2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</si>
  <si>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Beam</t>
    </r>
  </si>
  <si>
    <t>Add Ver. Jamb  No. 1</t>
  </si>
  <si>
    <r>
      <t xml:space="preserve">Summary :- "Apex Paint" - </t>
    </r>
    <r>
      <rPr>
        <b/>
        <u/>
        <sz val="14"/>
        <color theme="1"/>
        <rFont val="Calibri"/>
        <family val="2"/>
      </rPr>
      <t>North Side Ventilation Duct</t>
    </r>
    <r>
      <rPr>
        <b/>
        <sz val="14"/>
        <color theme="1"/>
        <rFont val="Calibri"/>
        <family val="2"/>
      </rPr>
      <t xml:space="preserve"> - {PVC Pipes}</t>
    </r>
  </si>
  <si>
    <t>North Side Ventilation Duct - {PVC Pipes}</t>
  </si>
  <si>
    <t>Pipe No. 2</t>
  </si>
  <si>
    <t>Pipe No. 6</t>
  </si>
  <si>
    <t>Add Bot. L Shape PVC Pipes</t>
  </si>
  <si>
    <t>Add Mid Parallel Pipe</t>
  </si>
  <si>
    <t>Add Mid Parallel Mini Pipe</t>
  </si>
  <si>
    <t>Add Longer Pipe</t>
  </si>
  <si>
    <r>
      <t xml:space="preserve">Add Longer Joint </t>
    </r>
    <r>
      <rPr>
        <b/>
        <sz val="14"/>
        <color theme="1"/>
        <rFont val="Calibri"/>
        <family val="2"/>
      </rPr>
      <t>L Shape</t>
    </r>
    <r>
      <rPr>
        <sz val="14"/>
        <color theme="1"/>
        <rFont val="Calibri"/>
        <charset val="134"/>
      </rPr>
      <t xml:space="preserve"> Pipe</t>
    </r>
  </si>
  <si>
    <t>Add Parallel Big Pipe Hor.</t>
  </si>
  <si>
    <t>Add Cross Pipe 1</t>
  </si>
  <si>
    <t>Add Cross Pipe 2</t>
  </si>
  <si>
    <t>Add Bot. Big Pipe</t>
  </si>
  <si>
    <t>East Wall :</t>
  </si>
  <si>
    <t>West Wall :</t>
  </si>
  <si>
    <r>
      <t xml:space="preserve">Add </t>
    </r>
    <r>
      <rPr>
        <b/>
        <sz val="14"/>
        <color theme="1"/>
        <rFont val="Calibri"/>
        <family val="2"/>
      </rPr>
      <t>L Shape</t>
    </r>
    <r>
      <rPr>
        <sz val="14"/>
        <color theme="1"/>
        <rFont val="Calibri"/>
        <charset val="134"/>
      </rPr>
      <t xml:space="preserve"> Mini Pipe</t>
    </r>
  </si>
  <si>
    <r>
      <t xml:space="preserve">Add </t>
    </r>
    <r>
      <rPr>
        <b/>
        <sz val="14"/>
        <color theme="1"/>
        <rFont val="Calibri"/>
        <family val="2"/>
      </rPr>
      <t>L Shape</t>
    </r>
    <r>
      <rPr>
        <sz val="14"/>
        <color theme="1"/>
        <rFont val="Calibri"/>
        <charset val="134"/>
      </rPr>
      <t xml:space="preserve"> Mini Pipe</t>
    </r>
    <r>
      <rPr>
        <sz val="14"/>
        <color theme="1"/>
        <rFont val="Calibri"/>
        <family val="2"/>
      </rPr>
      <t xml:space="preserve"> Parallel Hor.</t>
    </r>
  </si>
  <si>
    <t>Add Hor. Big Parallel Pipe</t>
  </si>
  <si>
    <t>Add Longer Pipe Ver. No. 1</t>
  </si>
  <si>
    <t>Add Longer Pipe Ver. No. 2</t>
  </si>
  <si>
    <r>
      <t xml:space="preserve">Add Longer Pipe Ver. No. 1 Joint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Pipe</t>
    </r>
  </si>
  <si>
    <r>
      <t xml:space="preserve">Add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PVC Pipe</t>
    </r>
  </si>
  <si>
    <t>Add Big Bot. Pipe</t>
  </si>
  <si>
    <t>Add Big Pipe</t>
  </si>
  <si>
    <r>
      <t xml:space="preserve">Add </t>
    </r>
    <r>
      <rPr>
        <b/>
        <sz val="14"/>
        <rFont val="Calibri"/>
        <family val="2"/>
      </rPr>
      <t>Y Shape</t>
    </r>
    <r>
      <rPr>
        <sz val="14"/>
        <rFont val="Calibri"/>
        <charset val="134"/>
      </rPr>
      <t xml:space="preserve"> Pipe</t>
    </r>
  </si>
  <si>
    <r>
      <t xml:space="preserve">Add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Mini PVC Pipe (3x21)</t>
    </r>
  </si>
  <si>
    <r>
      <t xml:space="preserve">Add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Mini PVC Pipe </t>
    </r>
  </si>
  <si>
    <t>Summary :- Zinc Primer - "Duct"</t>
  </si>
  <si>
    <t>Ver. Leg Channel 4 Nos. (4x21)</t>
  </si>
  <si>
    <t>Jali Channel Big 4 Nos.</t>
  </si>
  <si>
    <t>Jali Channel Big 2 Nos.</t>
  </si>
  <si>
    <t>RMT</t>
  </si>
  <si>
    <t>Hor. Channel Lapeti</t>
  </si>
  <si>
    <r>
      <rPr>
        <b/>
        <u/>
        <sz val="14"/>
        <color theme="1"/>
        <rFont val="Calibri"/>
        <family val="2"/>
      </rPr>
      <t>South</t>
    </r>
    <r>
      <rPr>
        <b/>
        <sz val="14"/>
        <color theme="1"/>
        <rFont val="Calibri"/>
        <family val="2"/>
      </rPr>
      <t xml:space="preserve"> Duct Zinc Primer Channel (RMT) :</t>
    </r>
  </si>
  <si>
    <r>
      <rPr>
        <b/>
        <u/>
        <sz val="14"/>
        <color theme="1"/>
        <rFont val="Calibri"/>
        <family val="2"/>
      </rPr>
      <t>North</t>
    </r>
    <r>
      <rPr>
        <b/>
        <sz val="14"/>
        <color theme="1"/>
        <rFont val="Calibri"/>
        <family val="2"/>
      </rPr>
      <t xml:space="preserve"> Duct Zinc Primer Channel (RMT) :</t>
    </r>
  </si>
  <si>
    <t>Jali Channel Small 2 Nos.</t>
  </si>
  <si>
    <r>
      <t xml:space="preserve">Jali Channel Big 4 Nos. </t>
    </r>
    <r>
      <rPr>
        <b/>
        <sz val="14"/>
        <color theme="1"/>
        <rFont val="Calibri"/>
        <family val="2"/>
      </rPr>
      <t xml:space="preserve">E-W </t>
    </r>
    <r>
      <rPr>
        <sz val="14"/>
        <color theme="1"/>
        <rFont val="Calibri"/>
        <family val="2"/>
      </rPr>
      <t>Dire.</t>
    </r>
  </si>
  <si>
    <r>
      <t xml:space="preserve">Jali Channel Big 2 Nos. </t>
    </r>
    <r>
      <rPr>
        <b/>
        <sz val="14"/>
        <color theme="1"/>
        <rFont val="Calibri"/>
        <family val="2"/>
      </rPr>
      <t>N-S</t>
    </r>
    <r>
      <rPr>
        <sz val="14"/>
        <color theme="1"/>
        <rFont val="Calibri"/>
        <family val="2"/>
      </rPr>
      <t xml:space="preserve"> Dire.</t>
    </r>
  </si>
  <si>
    <r>
      <rPr>
        <b/>
        <u/>
        <sz val="14"/>
        <color theme="1"/>
        <rFont val="Calibri"/>
        <family val="2"/>
      </rPr>
      <t>South</t>
    </r>
    <r>
      <rPr>
        <b/>
        <sz val="14"/>
        <color theme="1"/>
        <rFont val="Calibri"/>
        <family val="2"/>
      </rPr>
      <t xml:space="preserve"> Duct Zinc Primer Jali (SQM) :</t>
    </r>
  </si>
  <si>
    <r>
      <rPr>
        <b/>
        <u/>
        <sz val="14"/>
        <color theme="1"/>
        <rFont val="Calibri"/>
        <family val="2"/>
      </rPr>
      <t>North</t>
    </r>
    <r>
      <rPr>
        <b/>
        <sz val="14"/>
        <color theme="1"/>
        <rFont val="Calibri"/>
        <family val="2"/>
      </rPr>
      <t xml:space="preserve"> Duct Zinc Primer Jali (SQM) :</t>
    </r>
  </si>
  <si>
    <t>Summary :- "Apex Paint" - Duct Platform</t>
  </si>
  <si>
    <r>
      <rPr>
        <b/>
        <u/>
        <sz val="14"/>
        <rFont val="Calibri"/>
        <family val="2"/>
      </rPr>
      <t>North</t>
    </r>
    <r>
      <rPr>
        <b/>
        <sz val="14"/>
        <rFont val="Calibri"/>
        <family val="2"/>
      </rPr>
      <t xml:space="preserve"> Duct Platform :</t>
    </r>
  </si>
  <si>
    <r>
      <t xml:space="preserve">Duct Platform </t>
    </r>
    <r>
      <rPr>
        <b/>
        <sz val="14"/>
        <rFont val="Calibri"/>
        <family val="2"/>
      </rPr>
      <t>T</t>
    </r>
    <r>
      <rPr>
        <sz val="14"/>
        <rFont val="Calibri"/>
        <charset val="134"/>
      </rPr>
      <t xml:space="preserve"> &amp; </t>
    </r>
    <r>
      <rPr>
        <b/>
        <sz val="14"/>
        <rFont val="Calibri"/>
        <family val="2"/>
      </rPr>
      <t>B</t>
    </r>
    <r>
      <rPr>
        <sz val="14"/>
        <rFont val="Calibri"/>
        <charset val="134"/>
      </rPr>
      <t xml:space="preserve"> Hor. Jamb</t>
    </r>
  </si>
  <si>
    <t>Beam 1 Peri Pheri (2x21)</t>
  </si>
  <si>
    <t>Beam 2 Peri Pheri (4x21)</t>
  </si>
  <si>
    <r>
      <rPr>
        <b/>
        <sz val="14"/>
        <rFont val="Calibri"/>
        <family val="2"/>
      </rPr>
      <t>Deduct -</t>
    </r>
    <r>
      <rPr>
        <sz val="14"/>
        <rFont val="Calibri"/>
        <family val="2"/>
      </rPr>
      <t xml:space="preserve"> </t>
    </r>
  </si>
  <si>
    <t>Platform Beam Ver. Jamb</t>
  </si>
  <si>
    <t>Platform Ver. Jamb</t>
  </si>
  <si>
    <r>
      <rPr>
        <b/>
        <u/>
        <sz val="14"/>
        <rFont val="Calibri"/>
        <family val="2"/>
      </rPr>
      <t>South</t>
    </r>
    <r>
      <rPr>
        <b/>
        <sz val="14"/>
        <rFont val="Calibri"/>
        <family val="2"/>
      </rPr>
      <t xml:space="preserve"> Duct Platform :</t>
    </r>
  </si>
  <si>
    <r>
      <t xml:space="preserve">Summary :- Apex Paint - </t>
    </r>
    <r>
      <rPr>
        <b/>
        <u/>
        <sz val="14"/>
        <color theme="1"/>
        <rFont val="Calibri"/>
        <family val="2"/>
      </rPr>
      <t xml:space="preserve">Ventilation Duct </t>
    </r>
  </si>
  <si>
    <t>North Side Ventilation Duct "WALL"</t>
  </si>
  <si>
    <t xml:space="preserve">North Duct Platform </t>
  </si>
  <si>
    <t>South Duct Platform</t>
  </si>
  <si>
    <r>
      <t xml:space="preserve">"Apex Paint" N &amp; S Ventilation Duct </t>
    </r>
    <r>
      <rPr>
        <b/>
        <u/>
        <sz val="14"/>
        <color theme="1"/>
        <rFont val="Calibri"/>
        <family val="2"/>
      </rPr>
      <t>PVC Pipes</t>
    </r>
    <r>
      <rPr>
        <b/>
        <sz val="14"/>
        <color theme="1"/>
        <rFont val="Calibri"/>
        <family val="2"/>
      </rPr>
      <t xml:space="preserve"> :</t>
    </r>
  </si>
  <si>
    <r>
      <t xml:space="preserve">"Apex Paint" N &amp; S Ventilation Duct </t>
    </r>
    <r>
      <rPr>
        <b/>
        <u/>
        <sz val="14"/>
        <color theme="1"/>
        <rFont val="Calibri"/>
        <family val="2"/>
      </rPr>
      <t>Wall</t>
    </r>
    <r>
      <rPr>
        <b/>
        <sz val="14"/>
        <color theme="1"/>
        <rFont val="Calibri"/>
        <family val="2"/>
      </rPr>
      <t xml:space="preserve">  :</t>
    </r>
  </si>
  <si>
    <r>
      <t xml:space="preserve">"Apex Paint" - N &amp; S Duct </t>
    </r>
    <r>
      <rPr>
        <b/>
        <u/>
        <sz val="14"/>
        <color theme="1"/>
        <rFont val="Calibri"/>
        <family val="2"/>
      </rPr>
      <t>Platform</t>
    </r>
    <r>
      <rPr>
        <b/>
        <sz val="14"/>
        <color theme="1"/>
        <rFont val="Calibri"/>
        <family val="2"/>
      </rPr>
      <t xml:space="preserve"> :</t>
    </r>
  </si>
  <si>
    <t>South Duct Zinc Primer Channel (RMT)</t>
  </si>
  <si>
    <r>
      <t xml:space="preserve">"Zinc Primer" - N &amp; S Duct </t>
    </r>
    <r>
      <rPr>
        <b/>
        <u/>
        <sz val="14"/>
        <color theme="1"/>
        <rFont val="Calibri"/>
        <family val="2"/>
      </rPr>
      <t>Channels</t>
    </r>
    <r>
      <rPr>
        <b/>
        <sz val="14"/>
        <color theme="1"/>
        <rFont val="Calibri"/>
        <family val="2"/>
      </rPr>
      <t xml:space="preserve"> (</t>
    </r>
    <r>
      <rPr>
        <b/>
        <u/>
        <sz val="14"/>
        <color theme="1"/>
        <rFont val="Calibri"/>
        <family val="2"/>
      </rPr>
      <t>RMT</t>
    </r>
    <r>
      <rPr>
        <b/>
        <sz val="14"/>
        <color theme="1"/>
        <rFont val="Calibri"/>
        <family val="2"/>
      </rPr>
      <t>) :</t>
    </r>
  </si>
  <si>
    <t>North Duct Zinc Primer Channel (RMT)</t>
  </si>
  <si>
    <r>
      <t xml:space="preserve">"Zinc Primer" - N &amp; S Duct </t>
    </r>
    <r>
      <rPr>
        <b/>
        <u/>
        <sz val="14"/>
        <color theme="1"/>
        <rFont val="Calibri"/>
        <family val="2"/>
      </rPr>
      <t>Jali</t>
    </r>
    <r>
      <rPr>
        <b/>
        <sz val="14"/>
        <color theme="1"/>
        <rFont val="Calibri"/>
        <family val="2"/>
      </rPr>
      <t xml:space="preserve"> (</t>
    </r>
    <r>
      <rPr>
        <b/>
        <u/>
        <sz val="14"/>
        <color theme="1"/>
        <rFont val="Calibri"/>
        <family val="2"/>
      </rPr>
      <t>SQM</t>
    </r>
    <r>
      <rPr>
        <b/>
        <sz val="14"/>
        <color theme="1"/>
        <rFont val="Calibri"/>
        <family val="2"/>
      </rPr>
      <t>) :</t>
    </r>
  </si>
  <si>
    <t>South Duct Zinc Primer Jali (SQM)</t>
  </si>
  <si>
    <t>North Duct Zinc Primer Jali 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</si>
</sst>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sz val="14"/>
      <color theme="1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9" xfId="1" applyFont="1" applyBorder="1">
      <alignment vertical="center"/>
    </xf>
    <xf numFmtId="0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9" xfId="1" applyFont="1" applyBorder="1">
      <alignment vertical="center"/>
    </xf>
    <xf numFmtId="0" fontId="3" fillId="0" borderId="9" xfId="1" applyFont="1" applyBorder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9" xfId="1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9" xfId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6" fillId="0" borderId="9" xfId="1" applyFont="1" applyBorder="1">
      <alignment vertical="center"/>
    </xf>
    <xf numFmtId="0" fontId="7" fillId="0" borderId="9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8" fillId="0" borderId="4" xfId="0" applyFont="1" applyBorder="1" applyAlignment="1">
      <alignment vertical="center"/>
    </xf>
    <xf numFmtId="0" fontId="10" fillId="0" borderId="9" xfId="1" applyFont="1" applyBorder="1">
      <alignment vertical="center"/>
    </xf>
    <xf numFmtId="0" fontId="7" fillId="3" borderId="9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0" borderId="9" xfId="1" applyFont="1" applyBorder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3" borderId="9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7" fillId="0" borderId="11" xfId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4" borderId="15" xfId="1" applyFont="1" applyFill="1" applyBorder="1">
      <alignment vertical="center"/>
    </xf>
    <xf numFmtId="0" fontId="8" fillId="5" borderId="14" xfId="1" applyFont="1" applyFill="1" applyBorder="1">
      <alignment vertical="center"/>
    </xf>
    <xf numFmtId="0" fontId="7" fillId="0" borderId="16" xfId="1" applyFont="1" applyBorder="1" applyAlignment="1">
      <alignment horizontal="center" vertical="center"/>
    </xf>
    <xf numFmtId="0" fontId="9" fillId="6" borderId="17" xfId="1" applyFont="1" applyFill="1" applyBorder="1" applyAlignment="1">
      <alignment horizontal="center" vertical="center"/>
    </xf>
    <xf numFmtId="0" fontId="9" fillId="6" borderId="13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7" fillId="0" borderId="14" xfId="1" applyFont="1" applyBorder="1">
      <alignment vertical="center"/>
    </xf>
    <xf numFmtId="0" fontId="9" fillId="4" borderId="15" xfId="1" applyFont="1" applyFill="1" applyBorder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3" fillId="0" borderId="19" xfId="1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16" xfId="1" applyFont="1" applyBorder="1">
      <alignment vertical="center"/>
    </xf>
    <xf numFmtId="0" fontId="7" fillId="0" borderId="14" xfId="0" applyFont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0" borderId="14" xfId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4" borderId="9" xfId="1" applyFont="1" applyFill="1" applyBorder="1">
      <alignment vertical="center"/>
    </xf>
    <xf numFmtId="0" fontId="6" fillId="0" borderId="9" xfId="1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1" xfId="1" applyFont="1" applyBorder="1">
      <alignment vertical="center"/>
    </xf>
    <xf numFmtId="0" fontId="9" fillId="5" borderId="14" xfId="1" applyFont="1" applyFill="1" applyBorder="1">
      <alignment vertical="center"/>
    </xf>
    <xf numFmtId="0" fontId="7" fillId="0" borderId="4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9" xfId="1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6" fillId="0" borderId="14" xfId="1" applyFont="1" applyBorder="1">
      <alignment vertical="center"/>
    </xf>
    <xf numFmtId="0" fontId="1" fillId="0" borderId="14" xfId="0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7" fillId="7" borderId="14" xfId="1" applyFont="1" applyFill="1" applyBorder="1">
      <alignment vertical="center"/>
    </xf>
    <xf numFmtId="0" fontId="7" fillId="7" borderId="9" xfId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7" fillId="7" borderId="9" xfId="1" applyFont="1" applyFill="1" applyBorder="1">
      <alignment vertical="center"/>
    </xf>
    <xf numFmtId="0" fontId="1" fillId="7" borderId="0" xfId="0" applyFont="1" applyFill="1" applyAlignment="1">
      <alignment vertical="center"/>
    </xf>
    <xf numFmtId="0" fontId="1" fillId="7" borderId="9" xfId="0" applyFont="1" applyFill="1" applyBorder="1" applyAlignment="1">
      <alignment horizontal="center" vertical="center"/>
    </xf>
    <xf numFmtId="0" fontId="3" fillId="7" borderId="16" xfId="1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22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2294280</xdr:colOff>
      <xdr:row>205</xdr:row>
      <xdr:rowOff>47144</xdr:rowOff>
    </xdr:from>
    <xdr:to>
      <xdr:col>0</xdr:col>
      <xdr:colOff>2558520</xdr:colOff>
      <xdr:row>205</xdr:row>
      <xdr:rowOff>191144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FCEA6E2-1CC5-88A7-7343-0B317A265EA0}"/>
                </a:ext>
              </a:extLst>
            </xdr14:cNvPr>
            <xdr14:cNvContentPartPr/>
          </xdr14:nvContentPartPr>
          <xdr14:nvPr macro=""/>
          <xdr14:xfrm>
            <a:off x="2294280" y="50653883"/>
            <a:ext cx="264240" cy="144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FCEA6E2-1CC5-88A7-7343-0B317A265E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88160" y="50647763"/>
              <a:ext cx="27648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2269080</xdr:colOff>
      <xdr:row>206</xdr:row>
      <xdr:rowOff>31586</xdr:rowOff>
    </xdr:from>
    <xdr:to>
      <xdr:col>0</xdr:col>
      <xdr:colOff>2476440</xdr:colOff>
      <xdr:row>206</xdr:row>
      <xdr:rowOff>218066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A10D533-AAAF-6DDF-857B-3C8E842C440D}"/>
                </a:ext>
              </a:extLst>
            </xdr14:cNvPr>
            <xdr14:cNvContentPartPr/>
          </xdr14:nvContentPartPr>
          <xdr14:nvPr macro=""/>
          <xdr14:xfrm>
            <a:off x="2269080" y="50886803"/>
            <a:ext cx="207360" cy="186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A10D533-AAAF-6DDF-857B-3C8E842C440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62960" y="50880683"/>
              <a:ext cx="219600" cy="19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5:04:31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0 398 24575,'105'2'0,"113"-4"0,-215 1 0,0 1 0,1-1 0,-1 0 0,0 1 0,0-2 0,0 1 0,0 0 0,0 0 0,0-1 0,0 0 0,0 0 0,-1 0 0,1 0 0,-1 0 0,1 0 0,-1 0 0,0-1 0,0 1 0,0-1 0,0 0 0,0 0 0,-1 1 0,1-1 0,-1 0 0,0-1 0,0 1 0,0 0 0,0 0 0,0-5 0,2-10 0,-1 0 0,-1 0 0,-1 0 0,-2-23 0,0 13 0,2 16 0,-1-2 0,0-1 0,1 1 0,1 0 0,1-1 0,5-22 0,-6 33 0,0 1 0,1-1 0,-1 0 0,1 1 0,0 0 0,0-1 0,1 1 0,-1 0 0,1 0 0,-1 0 0,1 1 0,0-1 0,0 0 0,0 1 0,0 0 0,1 0 0,-1 0 0,0 0 0,1 0 0,0 1 0,-1 0 0,1 0 0,0 0 0,0 0 0,6-1 0,23-1 27,0 2 0,56 4 0,-10 0-1473,-59-3-5380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5:05:40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1 349 24575,'0'15'0,"-1"-1"0,1-1 0,1 1 0,0 0 0,6 22 0,-7-33 0,1 0 0,0 0 0,1 0 0,-1 0 0,1 0 0,-1 0 0,1 0 0,0-1 0,0 1 0,0-1 0,0 1 0,0-1 0,1 0 0,-1 0 0,1 0 0,-1 0 0,1 0 0,0 0 0,0-1 0,0 1 0,0-1 0,0 0 0,0 0 0,6 1 0,9 1 0,0-1 0,0-1 0,0 0 0,23-3 0,-31 1 0,-1 0 0,1-1 0,-1 0 0,1 0 0,-1-1 0,0 0 0,0-1 0,0 0 0,12-7 0,-17 7 0,0 1 0,-1-1 0,1 1 0,-1-1 0,0 0 0,0 0 0,0-1 0,0 1 0,-1-1 0,0 1 0,0-1 0,0 0 0,-1 0 0,1 0 0,-1 0 0,0 0 0,0-8 0,0-10 0,-1-1 0,-4-39 0,0 10 0,3 14 0,-1 5 0,5-49 0,-2 80 0,0 0 0,0 0 0,1 0 0,-1 1 0,1-1 0,0 0 0,-1 1 0,1-1 0,0 1 0,0 0 0,1 0 0,-1 0 0,0 0 0,1 0 0,-1 0 0,1 1 0,0-1 0,-1 1 0,7-3 0,2-1 0,1 1 0,1 0 0,17-4 0,-15 5 0,0 1 0,0 0 0,0 1 0,0 1 0,0 0 0,18 3 0,-23 1-1365,-4 1-5461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"/>
  <sheetViews>
    <sheetView tabSelected="1" topLeftCell="A19" zoomScale="92" zoomScaleNormal="85" workbookViewId="0">
      <selection activeCell="I32" sqref="I32"/>
    </sheetView>
  </sheetViews>
  <sheetFormatPr defaultColWidth="9" defaultRowHeight="19.95" customHeight="1"/>
  <cols>
    <col min="1" max="1" width="47.88671875" style="1" customWidth="1"/>
    <col min="2" max="2" width="7.6640625" style="1" customWidth="1"/>
    <col min="3" max="6" width="11.6640625" style="1" customWidth="1"/>
    <col min="7" max="16098" width="9.109375" style="1"/>
    <col min="16099" max="16384" width="9" style="1"/>
  </cols>
  <sheetData>
    <row r="1" spans="1:6" ht="19.95" customHeight="1">
      <c r="A1" s="2"/>
      <c r="B1" s="3"/>
      <c r="C1" s="3"/>
      <c r="D1" s="3"/>
      <c r="E1" s="3"/>
      <c r="F1" s="4"/>
    </row>
    <row r="2" spans="1:6" ht="19.95" customHeight="1">
      <c r="A2" s="5" t="s">
        <v>14</v>
      </c>
      <c r="B2" s="6"/>
      <c r="C2" s="6"/>
      <c r="D2" s="6"/>
      <c r="E2" s="7" t="s">
        <v>0</v>
      </c>
      <c r="F2" s="8" t="s">
        <v>13</v>
      </c>
    </row>
    <row r="3" spans="1:6" ht="19.95" customHeight="1">
      <c r="A3" s="5"/>
      <c r="B3" s="6"/>
      <c r="C3" s="6"/>
      <c r="D3" s="6"/>
      <c r="E3" s="6"/>
      <c r="F3" s="9"/>
    </row>
    <row r="4" spans="1:6" ht="19.95" customHeight="1">
      <c r="A4" s="67" t="s">
        <v>130</v>
      </c>
      <c r="B4" s="6"/>
      <c r="C4" s="6"/>
      <c r="D4" s="6"/>
      <c r="E4" s="6"/>
      <c r="F4" s="9"/>
    </row>
    <row r="5" spans="1:6" ht="19.95" customHeight="1">
      <c r="A5" s="10"/>
      <c r="B5" s="11"/>
      <c r="C5" s="11"/>
      <c r="D5" s="11"/>
      <c r="E5" s="11"/>
      <c r="F5" s="12"/>
    </row>
    <row r="6" spans="1:6" ht="19.95" customHeight="1" thickBot="1">
      <c r="A6" s="142" t="s">
        <v>1</v>
      </c>
      <c r="B6" s="142"/>
      <c r="C6" s="13" t="s">
        <v>2</v>
      </c>
      <c r="D6" s="143" t="s">
        <v>3</v>
      </c>
      <c r="E6" s="143"/>
      <c r="F6" s="143"/>
    </row>
    <row r="7" spans="1:6" ht="19.95" customHeight="1" thickBot="1">
      <c r="A7" s="144" t="s">
        <v>135</v>
      </c>
      <c r="B7" s="145"/>
      <c r="C7" s="17"/>
      <c r="D7" s="15"/>
      <c r="E7" s="16"/>
      <c r="F7" s="17"/>
    </row>
    <row r="8" spans="1:6" ht="19.95" customHeight="1">
      <c r="A8" s="140" t="s">
        <v>46</v>
      </c>
      <c r="B8" s="141"/>
      <c r="C8" s="17"/>
      <c r="D8" s="57"/>
      <c r="E8" s="58">
        <f>SUM(E71)</f>
        <v>862.89120000000003</v>
      </c>
      <c r="F8" s="21"/>
    </row>
    <row r="9" spans="1:6" ht="19.95" customHeight="1" thickBot="1">
      <c r="A9" s="138" t="s">
        <v>131</v>
      </c>
      <c r="B9" s="139"/>
      <c r="C9" s="15"/>
      <c r="D9" s="135"/>
      <c r="E9" s="136">
        <f>SUM(E186)</f>
        <v>781.86719999999991</v>
      </c>
      <c r="F9" s="137"/>
    </row>
    <row r="10" spans="1:6" ht="19.95" customHeight="1" thickBot="1">
      <c r="A10" s="146"/>
      <c r="B10" s="147"/>
      <c r="C10" s="15"/>
      <c r="D10" s="132" t="s">
        <v>29</v>
      </c>
      <c r="E10" s="133">
        <f>SUM(E8:E9)</f>
        <v>1644.7583999999999</v>
      </c>
      <c r="F10" s="134" t="s">
        <v>4</v>
      </c>
    </row>
    <row r="11" spans="1:6" ht="19.95" customHeight="1" thickBot="1">
      <c r="A11" s="146"/>
      <c r="B11" s="147"/>
      <c r="C11" s="14"/>
      <c r="D11" s="59"/>
      <c r="E11" s="60"/>
      <c r="F11" s="61"/>
    </row>
    <row r="12" spans="1:6" ht="19.95" customHeight="1" thickBot="1">
      <c r="A12" s="144" t="s">
        <v>134</v>
      </c>
      <c r="B12" s="145"/>
      <c r="C12" s="14"/>
      <c r="D12" s="15"/>
      <c r="E12" s="16"/>
      <c r="F12" s="17"/>
    </row>
    <row r="13" spans="1:6" ht="19.95" customHeight="1">
      <c r="A13" s="138" t="s">
        <v>31</v>
      </c>
      <c r="B13" s="139"/>
      <c r="C13" s="14"/>
      <c r="D13" s="15"/>
      <c r="E13" s="16">
        <f>SUM(E101+E114+E133)</f>
        <v>325.25830000000002</v>
      </c>
      <c r="F13" s="17"/>
    </row>
    <row r="14" spans="1:6" ht="19.95" customHeight="1" thickBot="1">
      <c r="A14" s="138" t="s">
        <v>82</v>
      </c>
      <c r="B14" s="139"/>
      <c r="C14" s="14"/>
      <c r="D14" s="57"/>
      <c r="E14" s="58">
        <f>SUM(E229+E266)</f>
        <v>364.88225</v>
      </c>
      <c r="F14" s="21"/>
    </row>
    <row r="15" spans="1:6" ht="19.95" customHeight="1" thickBot="1">
      <c r="A15" s="146"/>
      <c r="B15" s="147"/>
      <c r="C15" s="15"/>
      <c r="D15" s="132" t="s">
        <v>29</v>
      </c>
      <c r="E15" s="133">
        <f>SUM(E13:E14)</f>
        <v>690.14055000000008</v>
      </c>
      <c r="F15" s="134" t="s">
        <v>4</v>
      </c>
    </row>
    <row r="16" spans="1:6" ht="19.95" customHeight="1" thickBot="1">
      <c r="A16" s="148"/>
      <c r="B16" s="149"/>
      <c r="C16" s="14"/>
      <c r="D16" s="59"/>
      <c r="E16" s="60"/>
      <c r="F16" s="61"/>
    </row>
    <row r="17" spans="1:6" ht="19.95" customHeight="1" thickBot="1">
      <c r="A17" s="144" t="s">
        <v>136</v>
      </c>
      <c r="B17" s="145"/>
      <c r="C17" s="17"/>
      <c r="D17" s="15"/>
      <c r="E17" s="16"/>
      <c r="F17" s="17"/>
    </row>
    <row r="18" spans="1:6" ht="19.95" customHeight="1">
      <c r="A18" s="140" t="s">
        <v>132</v>
      </c>
      <c r="B18" s="150"/>
      <c r="C18" s="14"/>
      <c r="D18" s="15"/>
      <c r="E18" s="16">
        <f>SUM(E287)</f>
        <v>324.67034999999993</v>
      </c>
      <c r="F18" s="17"/>
    </row>
    <row r="19" spans="1:6" ht="19.95" customHeight="1" thickBot="1">
      <c r="A19" s="138" t="s">
        <v>133</v>
      </c>
      <c r="B19" s="147"/>
      <c r="C19" s="14"/>
      <c r="D19" s="57"/>
      <c r="E19" s="58">
        <f>SUM(E302)</f>
        <v>324.67034999999993</v>
      </c>
      <c r="F19" s="21"/>
    </row>
    <row r="20" spans="1:6" ht="19.95" customHeight="1" thickBot="1">
      <c r="A20" s="146"/>
      <c r="B20" s="147"/>
      <c r="C20" s="15"/>
      <c r="D20" s="132" t="s">
        <v>29</v>
      </c>
      <c r="E20" s="133">
        <f>SUM(E18:E19)</f>
        <v>649.34069999999986</v>
      </c>
      <c r="F20" s="134" t="s">
        <v>4</v>
      </c>
    </row>
    <row r="21" spans="1:6" ht="19.95" customHeight="1" thickBot="1">
      <c r="A21" s="148"/>
      <c r="B21" s="149"/>
      <c r="C21" s="14"/>
      <c r="D21" s="59"/>
      <c r="E21" s="60"/>
      <c r="F21" s="61"/>
    </row>
    <row r="22" spans="1:6" ht="19.95" customHeight="1" thickBot="1">
      <c r="A22" s="144" t="s">
        <v>138</v>
      </c>
      <c r="B22" s="145"/>
      <c r="C22" s="17"/>
      <c r="D22" s="15"/>
      <c r="E22" s="16"/>
      <c r="F22" s="17"/>
    </row>
    <row r="23" spans="1:6" ht="19.95" customHeight="1">
      <c r="A23" s="140" t="s">
        <v>137</v>
      </c>
      <c r="B23" s="150"/>
      <c r="C23" s="14"/>
      <c r="D23" s="15"/>
      <c r="E23" s="16">
        <f>SUM(E318)</f>
        <v>250.27999999999997</v>
      </c>
      <c r="F23" s="17"/>
    </row>
    <row r="24" spans="1:6" ht="19.95" customHeight="1" thickBot="1">
      <c r="A24" s="140" t="s">
        <v>139</v>
      </c>
      <c r="B24" s="150"/>
      <c r="C24" s="14"/>
      <c r="D24" s="57"/>
      <c r="E24" s="58">
        <f>SUM(E326)</f>
        <v>235.82499999999999</v>
      </c>
      <c r="F24" s="21"/>
    </row>
    <row r="25" spans="1:6" ht="19.95" customHeight="1" thickBot="1">
      <c r="A25" s="146"/>
      <c r="B25" s="147"/>
      <c r="C25" s="15"/>
      <c r="D25" s="132" t="s">
        <v>29</v>
      </c>
      <c r="E25" s="133">
        <f>SUM(E23:E24)</f>
        <v>486.10499999999996</v>
      </c>
      <c r="F25" s="134" t="s">
        <v>112</v>
      </c>
    </row>
    <row r="26" spans="1:6" ht="19.95" customHeight="1" thickBot="1">
      <c r="A26" s="146"/>
      <c r="B26" s="147"/>
      <c r="C26" s="14"/>
      <c r="D26" s="59"/>
      <c r="E26" s="60"/>
      <c r="F26" s="61"/>
    </row>
    <row r="27" spans="1:6" ht="19.95" customHeight="1" thickBot="1">
      <c r="A27" s="144" t="s">
        <v>140</v>
      </c>
      <c r="B27" s="145"/>
      <c r="C27" s="14"/>
      <c r="D27" s="15"/>
      <c r="E27" s="16"/>
      <c r="F27" s="17"/>
    </row>
    <row r="28" spans="1:6" ht="19.95" customHeight="1">
      <c r="A28" s="146" t="s">
        <v>141</v>
      </c>
      <c r="B28" s="147"/>
      <c r="C28" s="14"/>
      <c r="D28" s="15"/>
      <c r="E28" s="16">
        <f>SUM(E328)</f>
        <v>4.20425</v>
      </c>
      <c r="F28" s="17"/>
    </row>
    <row r="29" spans="1:6" ht="19.95" customHeight="1" thickBot="1">
      <c r="A29" s="146" t="s">
        <v>142</v>
      </c>
      <c r="B29" s="147"/>
      <c r="C29" s="14"/>
      <c r="D29" s="57"/>
      <c r="E29" s="58">
        <f>SUM(E329)</f>
        <v>4.6811999999999996</v>
      </c>
      <c r="F29" s="21"/>
    </row>
    <row r="30" spans="1:6" ht="19.95" customHeight="1" thickBot="1">
      <c r="A30" s="146"/>
      <c r="B30" s="147"/>
      <c r="C30" s="15"/>
      <c r="D30" s="132" t="s">
        <v>29</v>
      </c>
      <c r="E30" s="133">
        <f>SUM(E28:E29)</f>
        <v>8.8854499999999987</v>
      </c>
      <c r="F30" s="134" t="s">
        <v>4</v>
      </c>
    </row>
    <row r="31" spans="1:6" ht="19.95" customHeight="1">
      <c r="A31" s="146"/>
      <c r="B31" s="147"/>
      <c r="C31" s="14"/>
      <c r="D31" s="62"/>
      <c r="E31" s="63"/>
      <c r="F31" s="8"/>
    </row>
    <row r="32" spans="1:6" ht="19.95" customHeight="1">
      <c r="A32" s="146"/>
      <c r="B32" s="147"/>
      <c r="C32" s="15"/>
      <c r="D32" s="64"/>
      <c r="E32" s="65"/>
      <c r="F32" s="66"/>
    </row>
    <row r="33" spans="1:6" ht="19.95" customHeight="1">
      <c r="A33" s="146"/>
      <c r="B33" s="147"/>
      <c r="C33" s="14"/>
      <c r="D33" s="59"/>
      <c r="E33" s="60"/>
      <c r="F33" s="61"/>
    </row>
    <row r="34" spans="1:6" ht="19.95" customHeight="1">
      <c r="A34" s="151"/>
      <c r="B34" s="151"/>
      <c r="C34" s="14"/>
      <c r="D34" s="15"/>
      <c r="E34" s="16"/>
      <c r="F34" s="17"/>
    </row>
    <row r="35" spans="1:6" ht="19.95" customHeight="1">
      <c r="A35" s="152"/>
      <c r="B35" s="153"/>
      <c r="C35" s="14"/>
      <c r="D35" s="15"/>
      <c r="E35" s="16"/>
      <c r="F35" s="17"/>
    </row>
    <row r="36" spans="1:6" ht="19.95" customHeight="1">
      <c r="A36" s="152"/>
      <c r="B36" s="153"/>
      <c r="C36" s="14"/>
      <c r="D36" s="15"/>
      <c r="E36" s="16"/>
      <c r="F36" s="17"/>
    </row>
    <row r="37" spans="1:6" ht="19.95" customHeight="1">
      <c r="A37" s="152"/>
      <c r="B37" s="153"/>
      <c r="C37" s="14"/>
      <c r="D37" s="15"/>
      <c r="E37" s="16"/>
      <c r="F37" s="17"/>
    </row>
    <row r="38" spans="1:6" ht="19.95" customHeight="1">
      <c r="A38" s="154" t="s">
        <v>5</v>
      </c>
      <c r="B38" s="154"/>
      <c r="C38" s="154"/>
      <c r="D38" s="154"/>
      <c r="E38" s="154"/>
      <c r="F38" s="154"/>
    </row>
    <row r="39" spans="1:6" ht="18.75" customHeight="1">
      <c r="A39" s="18"/>
      <c r="B39" s="19"/>
      <c r="C39" s="19"/>
      <c r="D39" s="19"/>
      <c r="E39" s="20"/>
      <c r="F39" s="21"/>
    </row>
    <row r="40" spans="1:6" ht="18.75" customHeight="1">
      <c r="A40" s="49" t="s">
        <v>15</v>
      </c>
      <c r="E40" s="7" t="s">
        <v>0</v>
      </c>
      <c r="F40" s="8">
        <v>1</v>
      </c>
    </row>
    <row r="41" spans="1:6" ht="18.75" customHeight="1">
      <c r="A41" s="49" t="s">
        <v>70</v>
      </c>
      <c r="F41" s="23"/>
    </row>
    <row r="42" spans="1:6" ht="18.75" customHeight="1">
      <c r="A42" s="24"/>
      <c r="B42" s="25"/>
      <c r="C42" s="25"/>
      <c r="D42" s="25"/>
      <c r="E42" s="25"/>
      <c r="F42" s="26"/>
    </row>
    <row r="43" spans="1:6" ht="18.75" customHeight="1" thickBot="1">
      <c r="A43" s="69" t="s">
        <v>6</v>
      </c>
      <c r="B43" s="13" t="s">
        <v>7</v>
      </c>
      <c r="C43" s="13" t="s">
        <v>8</v>
      </c>
      <c r="D43" s="13" t="s">
        <v>9</v>
      </c>
      <c r="E43" s="13" t="s">
        <v>10</v>
      </c>
      <c r="F43" s="13" t="s">
        <v>11</v>
      </c>
    </row>
    <row r="44" spans="1:6" ht="18.75" customHeight="1" thickBot="1">
      <c r="A44" s="70" t="s">
        <v>46</v>
      </c>
      <c r="B44" s="68"/>
      <c r="C44" s="43"/>
      <c r="D44" s="43"/>
      <c r="E44" s="43"/>
      <c r="F44" s="44"/>
    </row>
    <row r="45" spans="1:6" ht="18.75" customHeight="1">
      <c r="A45" s="71" t="s">
        <v>16</v>
      </c>
      <c r="B45" s="43">
        <v>1</v>
      </c>
      <c r="C45" s="43">
        <v>4.5650000000000004</v>
      </c>
      <c r="D45" s="43">
        <v>62.82</v>
      </c>
      <c r="E45" s="43">
        <f>D45*C45*B45</f>
        <v>286.77330000000001</v>
      </c>
      <c r="F45" s="44"/>
    </row>
    <row r="46" spans="1:6" ht="18.75" customHeight="1">
      <c r="A46" s="50" t="s">
        <v>17</v>
      </c>
      <c r="B46" s="43">
        <v>21</v>
      </c>
      <c r="C46" s="43">
        <v>0.53</v>
      </c>
      <c r="D46" s="43">
        <v>0.82</v>
      </c>
      <c r="E46" s="43"/>
      <c r="F46" s="43">
        <f>D46*C46*B46</f>
        <v>9.1265999999999998</v>
      </c>
    </row>
    <row r="47" spans="1:6" ht="18.75" customHeight="1">
      <c r="A47" s="42" t="s">
        <v>18</v>
      </c>
      <c r="B47" s="43">
        <v>21</v>
      </c>
      <c r="C47" s="43">
        <v>0.06</v>
      </c>
      <c r="D47" s="43">
        <v>2.4500000000000002</v>
      </c>
      <c r="E47" s="43">
        <f>D47*C47*B47</f>
        <v>3.0869999999999997</v>
      </c>
      <c r="F47" s="43"/>
    </row>
    <row r="48" spans="1:6" ht="18.75" customHeight="1">
      <c r="A48" s="42" t="s">
        <v>19</v>
      </c>
      <c r="B48" s="43">
        <v>42</v>
      </c>
      <c r="C48" s="43">
        <v>0.06</v>
      </c>
      <c r="D48" s="43">
        <v>3.06</v>
      </c>
      <c r="E48" s="43">
        <f>D48*C48*B48</f>
        <v>7.7111999999999998</v>
      </c>
      <c r="F48" s="43"/>
    </row>
    <row r="49" spans="1:6" ht="18.75" customHeight="1">
      <c r="A49" s="50" t="s">
        <v>20</v>
      </c>
      <c r="B49" s="43">
        <v>42</v>
      </c>
      <c r="C49" s="43">
        <v>0.2</v>
      </c>
      <c r="D49" s="43">
        <v>0.41</v>
      </c>
      <c r="E49" s="43"/>
      <c r="F49" s="43">
        <f>D49*C49*B49</f>
        <v>3.444</v>
      </c>
    </row>
    <row r="50" spans="1:6" ht="18.75" customHeight="1">
      <c r="A50" s="50" t="s">
        <v>21</v>
      </c>
      <c r="B50" s="43">
        <v>21</v>
      </c>
      <c r="C50" s="43">
        <v>4.4999999999999998E-2</v>
      </c>
      <c r="D50" s="43">
        <v>0.41</v>
      </c>
      <c r="E50" s="43"/>
      <c r="F50" s="43">
        <f>D50*C50*B50</f>
        <v>0.38744999999999996</v>
      </c>
    </row>
    <row r="51" spans="1:6" ht="18.75" customHeight="1">
      <c r="A51" s="42"/>
      <c r="B51" s="43"/>
      <c r="C51" s="43"/>
      <c r="D51" s="43"/>
      <c r="E51" s="43"/>
      <c r="F51" s="43"/>
    </row>
    <row r="52" spans="1:6" ht="18.75" customHeight="1">
      <c r="A52" s="71" t="s">
        <v>22</v>
      </c>
      <c r="B52" s="43">
        <v>1</v>
      </c>
      <c r="C52" s="43">
        <v>3.05</v>
      </c>
      <c r="D52" s="43">
        <v>62.82</v>
      </c>
      <c r="E52" s="43">
        <f>D52*C52*B52</f>
        <v>191.601</v>
      </c>
      <c r="F52" s="43"/>
    </row>
    <row r="53" spans="1:6" ht="18.75" customHeight="1">
      <c r="A53" s="50" t="s">
        <v>23</v>
      </c>
      <c r="B53" s="43">
        <v>21</v>
      </c>
      <c r="C53" s="43">
        <v>0.53500000000000003</v>
      </c>
      <c r="D53" s="43">
        <v>1.7</v>
      </c>
      <c r="E53" s="43"/>
      <c r="F53" s="43">
        <f>D53*C53*B53</f>
        <v>19.099499999999999</v>
      </c>
    </row>
    <row r="54" spans="1:6" ht="18.75" customHeight="1">
      <c r="A54" s="50" t="s">
        <v>24</v>
      </c>
      <c r="B54" s="43">
        <v>21</v>
      </c>
      <c r="C54" s="43">
        <v>0.53500000000000003</v>
      </c>
      <c r="D54" s="43">
        <v>1.68</v>
      </c>
      <c r="E54" s="43"/>
      <c r="F54" s="43">
        <f>D54*C54*B54</f>
        <v>18.8748</v>
      </c>
    </row>
    <row r="55" spans="1:6" ht="18.75" customHeight="1">
      <c r="A55" s="50" t="s">
        <v>20</v>
      </c>
      <c r="B55" s="43">
        <v>42</v>
      </c>
      <c r="C55" s="43">
        <v>0.2</v>
      </c>
      <c r="D55" s="43">
        <v>0.41</v>
      </c>
      <c r="E55" s="43"/>
      <c r="F55" s="43">
        <f>D55*C55*B55</f>
        <v>3.444</v>
      </c>
    </row>
    <row r="56" spans="1:6" ht="18.75" customHeight="1">
      <c r="A56" s="42" t="s">
        <v>25</v>
      </c>
      <c r="B56" s="43">
        <v>21</v>
      </c>
      <c r="C56" s="43">
        <v>4.4999999999999998E-2</v>
      </c>
      <c r="D56" s="43">
        <v>3.05</v>
      </c>
      <c r="E56" s="43">
        <f>D56*C56*B56</f>
        <v>2.8822499999999995</v>
      </c>
      <c r="F56" s="43"/>
    </row>
    <row r="57" spans="1:6" ht="18.75" customHeight="1">
      <c r="A57" s="42"/>
      <c r="B57" s="43"/>
      <c r="C57" s="43"/>
      <c r="D57" s="43"/>
      <c r="E57" s="43"/>
      <c r="F57" s="43"/>
    </row>
    <row r="58" spans="1:6" ht="18.75" customHeight="1">
      <c r="A58" s="71" t="s">
        <v>26</v>
      </c>
      <c r="B58" s="43">
        <v>1</v>
      </c>
      <c r="C58" s="43">
        <v>4.5650000000000004</v>
      </c>
      <c r="D58" s="43">
        <v>62.82</v>
      </c>
      <c r="E58" s="43">
        <f>D58*C58*B58</f>
        <v>286.77330000000001</v>
      </c>
      <c r="F58" s="43"/>
    </row>
    <row r="59" spans="1:6" ht="18.75" customHeight="1">
      <c r="A59" s="50" t="s">
        <v>17</v>
      </c>
      <c r="B59" s="43">
        <v>21</v>
      </c>
      <c r="C59" s="43">
        <v>0.53</v>
      </c>
      <c r="D59" s="43">
        <v>0.82</v>
      </c>
      <c r="E59" s="43"/>
      <c r="F59" s="43">
        <f>D59*C59*B59</f>
        <v>9.1265999999999998</v>
      </c>
    </row>
    <row r="60" spans="1:6" ht="18.75" customHeight="1">
      <c r="A60" s="42" t="s">
        <v>18</v>
      </c>
      <c r="B60" s="43">
        <v>21</v>
      </c>
      <c r="C60" s="43">
        <v>0.06</v>
      </c>
      <c r="D60" s="43">
        <v>2.4500000000000002</v>
      </c>
      <c r="E60" s="43">
        <f>D60*C60*B60</f>
        <v>3.0869999999999997</v>
      </c>
      <c r="F60" s="43"/>
    </row>
    <row r="61" spans="1:6" ht="18.75" customHeight="1">
      <c r="A61" s="42" t="s">
        <v>19</v>
      </c>
      <c r="B61" s="43">
        <v>42</v>
      </c>
      <c r="C61" s="43">
        <v>0.06</v>
      </c>
      <c r="D61" s="43">
        <v>3.06</v>
      </c>
      <c r="E61" s="43">
        <f>D61*C61*B61</f>
        <v>7.7111999999999998</v>
      </c>
      <c r="F61" s="43"/>
    </row>
    <row r="62" spans="1:6" ht="18.75" customHeight="1">
      <c r="A62" s="50" t="s">
        <v>20</v>
      </c>
      <c r="B62" s="43">
        <v>42</v>
      </c>
      <c r="C62" s="43">
        <v>0.2</v>
      </c>
      <c r="D62" s="43">
        <v>0.41</v>
      </c>
      <c r="E62" s="43"/>
      <c r="F62" s="43">
        <f>D62*C62*B62</f>
        <v>3.444</v>
      </c>
    </row>
    <row r="63" spans="1:6" ht="18.75" customHeight="1">
      <c r="A63" s="50" t="s">
        <v>21</v>
      </c>
      <c r="B63" s="43">
        <v>21</v>
      </c>
      <c r="C63" s="43">
        <v>4.4999999999999998E-2</v>
      </c>
      <c r="D63" s="43">
        <v>0.41</v>
      </c>
      <c r="E63" s="43"/>
      <c r="F63" s="43">
        <f>D63*C63*B63</f>
        <v>0.38744999999999996</v>
      </c>
    </row>
    <row r="64" spans="1:6" ht="18.75" customHeight="1">
      <c r="A64" s="48"/>
      <c r="B64" s="43"/>
      <c r="C64" s="43"/>
      <c r="D64" s="43"/>
      <c r="E64" s="43"/>
      <c r="F64" s="43"/>
    </row>
    <row r="65" spans="1:6" ht="18.75" customHeight="1">
      <c r="A65" s="71" t="s">
        <v>27</v>
      </c>
      <c r="B65" s="43">
        <v>1</v>
      </c>
      <c r="C65" s="43">
        <v>3.12</v>
      </c>
      <c r="D65" s="43">
        <v>62.82</v>
      </c>
      <c r="E65" s="43">
        <f>D65*C65*B65</f>
        <v>195.9984</v>
      </c>
      <c r="F65" s="43"/>
    </row>
    <row r="66" spans="1:6" ht="18.75" customHeight="1">
      <c r="A66" s="50" t="s">
        <v>17</v>
      </c>
      <c r="B66" s="14">
        <v>21</v>
      </c>
      <c r="C66" s="14">
        <v>3</v>
      </c>
      <c r="D66" s="14">
        <v>0.86</v>
      </c>
      <c r="E66" s="14"/>
      <c r="F66" s="17">
        <f>D66*C66*B66</f>
        <v>54.18</v>
      </c>
    </row>
    <row r="67" spans="1:6" ht="18.75" customHeight="1">
      <c r="A67" s="50" t="s">
        <v>28</v>
      </c>
      <c r="B67" s="43">
        <v>42</v>
      </c>
      <c r="C67" s="43">
        <v>4.4999999999999998E-2</v>
      </c>
      <c r="D67" s="43">
        <v>0.64500000000000002</v>
      </c>
      <c r="E67" s="43"/>
      <c r="F67" s="43">
        <f>D67*C67*B67</f>
        <v>1.21905</v>
      </c>
    </row>
    <row r="68" spans="1:6" ht="18.75" customHeight="1" thickBot="1">
      <c r="A68" s="42"/>
      <c r="B68" s="43"/>
      <c r="C68" s="43"/>
      <c r="D68" s="72"/>
      <c r="E68" s="72"/>
      <c r="F68" s="72"/>
    </row>
    <row r="69" spans="1:6" ht="18.75" customHeight="1" thickBot="1">
      <c r="A69" s="42"/>
      <c r="B69" s="43"/>
      <c r="C69" s="45"/>
      <c r="D69" s="73" t="s">
        <v>29</v>
      </c>
      <c r="E69" s="74">
        <f>SUM(E45:E68)</f>
        <v>985.62464999999997</v>
      </c>
      <c r="F69" s="75">
        <f>SUM(F45:F68)</f>
        <v>122.73344999999999</v>
      </c>
    </row>
    <row r="70" spans="1:6" ht="18.75" customHeight="1" thickBot="1">
      <c r="A70" s="42"/>
      <c r="B70" s="43"/>
      <c r="C70" s="45"/>
      <c r="D70" s="76"/>
      <c r="E70" s="76"/>
      <c r="F70" s="76"/>
    </row>
    <row r="71" spans="1:6" ht="18.75" customHeight="1" thickBot="1">
      <c r="A71" s="42"/>
      <c r="B71" s="43"/>
      <c r="C71" s="45"/>
      <c r="D71" s="78" t="s">
        <v>29</v>
      </c>
      <c r="E71" s="79">
        <f>E69-F69</f>
        <v>862.89120000000003</v>
      </c>
      <c r="F71" s="80" t="s">
        <v>4</v>
      </c>
    </row>
    <row r="72" spans="1:6" ht="18.75" customHeight="1">
      <c r="A72" s="42"/>
      <c r="B72" s="43"/>
      <c r="C72" s="45"/>
      <c r="D72" s="46"/>
      <c r="E72" s="77"/>
      <c r="F72" s="46"/>
    </row>
    <row r="73" spans="1:6" ht="18.75" customHeight="1">
      <c r="A73" s="42"/>
      <c r="B73" s="43"/>
      <c r="C73" s="45"/>
      <c r="D73" s="51"/>
      <c r="E73" s="52"/>
      <c r="F73" s="51"/>
    </row>
    <row r="74" spans="1:6" ht="18.75" customHeight="1">
      <c r="A74" s="42"/>
      <c r="B74" s="43"/>
      <c r="C74" s="43"/>
      <c r="D74" s="46"/>
      <c r="E74" s="46"/>
      <c r="F74" s="47"/>
    </row>
    <row r="75" spans="1:6" ht="18.75" customHeight="1">
      <c r="A75" s="42"/>
      <c r="B75" s="43"/>
      <c r="C75" s="43"/>
      <c r="D75" s="43"/>
      <c r="E75" s="43"/>
      <c r="F75" s="44"/>
    </row>
    <row r="76" spans="1:6" ht="18.75" customHeight="1">
      <c r="A76" s="42"/>
      <c r="B76" s="43"/>
      <c r="C76" s="43"/>
      <c r="D76" s="43"/>
      <c r="E76" s="43"/>
      <c r="F76" s="44"/>
    </row>
    <row r="77" spans="1:6" ht="18.75" customHeight="1">
      <c r="A77" s="42"/>
      <c r="B77" s="43"/>
      <c r="C77" s="43"/>
      <c r="D77" s="43"/>
      <c r="E77" s="43"/>
      <c r="F77" s="44"/>
    </row>
    <row r="78" spans="1:6" ht="18.75" customHeight="1">
      <c r="A78" s="154" t="s">
        <v>5</v>
      </c>
      <c r="B78" s="154"/>
      <c r="C78" s="154"/>
      <c r="D78" s="154"/>
      <c r="E78" s="154"/>
      <c r="F78" s="154"/>
    </row>
    <row r="79" spans="1:6" ht="19.95" customHeight="1">
      <c r="A79" s="18"/>
      <c r="B79" s="19"/>
      <c r="C79" s="19"/>
      <c r="D79" s="19"/>
      <c r="E79" s="20"/>
      <c r="F79" s="21"/>
    </row>
    <row r="80" spans="1:6" ht="19.95" customHeight="1">
      <c r="A80" s="49" t="s">
        <v>15</v>
      </c>
      <c r="E80" s="7" t="s">
        <v>0</v>
      </c>
      <c r="F80" s="8">
        <v>2</v>
      </c>
    </row>
    <row r="81" spans="1:6" ht="19.95" customHeight="1">
      <c r="A81" s="49" t="s">
        <v>30</v>
      </c>
      <c r="F81" s="23"/>
    </row>
    <row r="82" spans="1:6" ht="19.95" customHeight="1">
      <c r="A82" s="24"/>
      <c r="B82" s="25"/>
      <c r="C82" s="25"/>
      <c r="D82" s="25"/>
      <c r="E82" s="25"/>
      <c r="F82" s="26"/>
    </row>
    <row r="83" spans="1:6" ht="19.95" customHeight="1" thickBot="1">
      <c r="A83" s="69" t="s">
        <v>6</v>
      </c>
      <c r="B83" s="13" t="s">
        <v>7</v>
      </c>
      <c r="C83" s="13" t="s">
        <v>8</v>
      </c>
      <c r="D83" s="13" t="s">
        <v>9</v>
      </c>
      <c r="E83" s="13" t="s">
        <v>10</v>
      </c>
      <c r="F83" s="13" t="s">
        <v>11</v>
      </c>
    </row>
    <row r="84" spans="1:6" ht="19.95" customHeight="1" thickBot="1">
      <c r="A84" s="83" t="s">
        <v>31</v>
      </c>
      <c r="B84" s="81"/>
      <c r="C84" s="28"/>
      <c r="D84" s="28"/>
      <c r="E84" s="28"/>
      <c r="F84" s="29"/>
    </row>
    <row r="85" spans="1:6" ht="19.95" customHeight="1">
      <c r="A85" s="82" t="s">
        <v>32</v>
      </c>
      <c r="B85" s="28">
        <v>1</v>
      </c>
      <c r="C85" s="28">
        <v>0.36</v>
      </c>
      <c r="D85" s="28">
        <v>62.82</v>
      </c>
      <c r="E85" s="28">
        <f>D85*C85*B85</f>
        <v>22.615199999999998</v>
      </c>
      <c r="F85" s="29"/>
    </row>
    <row r="86" spans="1:6" ht="19.95" customHeight="1">
      <c r="A86" s="53" t="s">
        <v>33</v>
      </c>
      <c r="B86" s="28">
        <v>1</v>
      </c>
      <c r="C86" s="28">
        <v>0.24</v>
      </c>
      <c r="D86" s="28">
        <v>62.82</v>
      </c>
      <c r="E86" s="28">
        <f t="shared" ref="E86:E98" si="0">D86*C86*B86</f>
        <v>15.076799999999999</v>
      </c>
      <c r="F86" s="28"/>
    </row>
    <row r="87" spans="1:6" ht="19.95" customHeight="1">
      <c r="A87" s="82" t="s">
        <v>34</v>
      </c>
      <c r="B87" s="28">
        <v>1</v>
      </c>
      <c r="C87" s="28">
        <v>0.12</v>
      </c>
      <c r="D87" s="28">
        <v>62.82</v>
      </c>
      <c r="E87" s="28">
        <f t="shared" si="0"/>
        <v>7.5383999999999993</v>
      </c>
      <c r="F87" s="29"/>
    </row>
    <row r="88" spans="1:6" ht="19.95" customHeight="1">
      <c r="A88" s="82" t="s">
        <v>35</v>
      </c>
      <c r="B88" s="28">
        <v>1</v>
      </c>
      <c r="C88" s="28">
        <v>0.16</v>
      </c>
      <c r="D88" s="28">
        <v>62.82</v>
      </c>
      <c r="E88" s="28">
        <f t="shared" si="0"/>
        <v>10.0512</v>
      </c>
      <c r="F88" s="28"/>
    </row>
    <row r="89" spans="1:6" ht="19.95" customHeight="1">
      <c r="A89" s="82" t="s">
        <v>36</v>
      </c>
      <c r="B89" s="28">
        <v>1</v>
      </c>
      <c r="C89" s="28">
        <v>0.12</v>
      </c>
      <c r="D89" s="28">
        <v>62.82</v>
      </c>
      <c r="E89" s="28">
        <f t="shared" si="0"/>
        <v>7.5383999999999993</v>
      </c>
      <c r="F89" s="28"/>
    </row>
    <row r="90" spans="1:6" ht="19.95" customHeight="1">
      <c r="A90" s="53" t="s">
        <v>37</v>
      </c>
      <c r="B90" s="28">
        <v>21</v>
      </c>
      <c r="C90" s="28">
        <v>0.24</v>
      </c>
      <c r="D90" s="28">
        <v>0.2</v>
      </c>
      <c r="E90" s="28">
        <f t="shared" si="0"/>
        <v>1.008</v>
      </c>
      <c r="F90" s="28"/>
    </row>
    <row r="91" spans="1:6" ht="19.95" customHeight="1">
      <c r="A91" s="53" t="s">
        <v>38</v>
      </c>
      <c r="B91" s="28">
        <v>21</v>
      </c>
      <c r="C91" s="28">
        <v>0.05</v>
      </c>
      <c r="D91" s="28">
        <v>0.26</v>
      </c>
      <c r="E91" s="28">
        <f t="shared" si="0"/>
        <v>0.27300000000000002</v>
      </c>
      <c r="F91" s="28"/>
    </row>
    <row r="92" spans="1:6" ht="19.95" customHeight="1">
      <c r="A92" s="53" t="s">
        <v>39</v>
      </c>
      <c r="B92" s="28">
        <v>21</v>
      </c>
      <c r="C92" s="28">
        <v>0.05</v>
      </c>
      <c r="D92" s="28">
        <v>0.38</v>
      </c>
      <c r="E92" s="28">
        <f t="shared" si="0"/>
        <v>0.39900000000000008</v>
      </c>
      <c r="F92" s="28"/>
    </row>
    <row r="93" spans="1:6" ht="19.95" customHeight="1">
      <c r="A93" s="53" t="s">
        <v>40</v>
      </c>
      <c r="B93" s="28">
        <v>21</v>
      </c>
      <c r="C93" s="28">
        <v>0.12</v>
      </c>
      <c r="D93" s="28">
        <v>1.78</v>
      </c>
      <c r="E93" s="28">
        <f t="shared" si="0"/>
        <v>4.4855999999999998</v>
      </c>
      <c r="F93" s="28"/>
    </row>
    <row r="94" spans="1:6" ht="19.95" customHeight="1">
      <c r="A94" s="53" t="s">
        <v>41</v>
      </c>
      <c r="B94" s="28">
        <v>21</v>
      </c>
      <c r="C94" s="28">
        <v>0.05</v>
      </c>
      <c r="D94" s="28">
        <v>2.57</v>
      </c>
      <c r="E94" s="28">
        <f t="shared" si="0"/>
        <v>2.6985000000000001</v>
      </c>
      <c r="F94" s="28"/>
    </row>
    <row r="95" spans="1:6" ht="19.95" customHeight="1">
      <c r="A95" s="53" t="s">
        <v>42</v>
      </c>
      <c r="B95" s="28">
        <v>21</v>
      </c>
      <c r="C95" s="28">
        <v>0.12</v>
      </c>
      <c r="D95" s="28">
        <v>0.81</v>
      </c>
      <c r="E95" s="14">
        <f t="shared" si="0"/>
        <v>2.0412000000000003</v>
      </c>
      <c r="F95" s="28"/>
    </row>
    <row r="96" spans="1:6" ht="19.95" customHeight="1">
      <c r="A96" s="53" t="s">
        <v>43</v>
      </c>
      <c r="B96" s="28">
        <v>21</v>
      </c>
      <c r="C96" s="28">
        <v>0.05</v>
      </c>
      <c r="D96" s="28">
        <v>0.85</v>
      </c>
      <c r="E96" s="14">
        <f t="shared" si="0"/>
        <v>0.89250000000000007</v>
      </c>
      <c r="F96" s="28"/>
    </row>
    <row r="97" spans="1:6" ht="19.95" customHeight="1">
      <c r="A97" s="53" t="s">
        <v>44</v>
      </c>
      <c r="B97" s="28">
        <v>21</v>
      </c>
      <c r="C97" s="28">
        <v>0.12</v>
      </c>
      <c r="D97" s="28">
        <v>0.38</v>
      </c>
      <c r="E97" s="14">
        <f t="shared" si="0"/>
        <v>0.95760000000000001</v>
      </c>
      <c r="F97" s="28"/>
    </row>
    <row r="98" spans="1:6" ht="19.95" customHeight="1" thickBot="1">
      <c r="A98" s="53" t="s">
        <v>45</v>
      </c>
      <c r="B98" s="28">
        <v>21</v>
      </c>
      <c r="C98" s="28">
        <v>0.22</v>
      </c>
      <c r="D98" s="85">
        <v>0.16</v>
      </c>
      <c r="E98" s="86">
        <f t="shared" si="0"/>
        <v>0.73920000000000008</v>
      </c>
      <c r="F98" s="85"/>
    </row>
    <row r="99" spans="1:6" ht="19.95" customHeight="1" thickBot="1">
      <c r="A99" s="53"/>
      <c r="B99" s="28"/>
      <c r="C99" s="84"/>
      <c r="D99" s="78" t="s">
        <v>29</v>
      </c>
      <c r="E99" s="89">
        <f>SUM(E85:E98)</f>
        <v>76.314599999999999</v>
      </c>
      <c r="F99" s="90" t="s">
        <v>4</v>
      </c>
    </row>
    <row r="100" spans="1:6" ht="19.95" customHeight="1" thickBot="1">
      <c r="A100" s="53"/>
      <c r="B100" s="28"/>
      <c r="C100" s="28"/>
      <c r="D100" s="91" t="s">
        <v>47</v>
      </c>
      <c r="E100" s="92">
        <v>2</v>
      </c>
      <c r="F100" s="93" t="s">
        <v>48</v>
      </c>
    </row>
    <row r="101" spans="1:6" ht="19.95" customHeight="1" thickBot="1">
      <c r="A101" s="53"/>
      <c r="B101" s="28"/>
      <c r="C101" s="84"/>
      <c r="D101" s="78" t="s">
        <v>29</v>
      </c>
      <c r="E101" s="89">
        <f>E100*E99</f>
        <v>152.6292</v>
      </c>
      <c r="F101" s="90" t="s">
        <v>4</v>
      </c>
    </row>
    <row r="102" spans="1:6" ht="19.95" customHeight="1" thickBot="1">
      <c r="A102" s="94"/>
      <c r="B102" s="28"/>
      <c r="C102" s="28"/>
      <c r="D102" s="88"/>
      <c r="E102" s="87"/>
      <c r="F102" s="88"/>
    </row>
    <row r="103" spans="1:6" ht="19.95" customHeight="1" thickBot="1">
      <c r="A103" s="83" t="s">
        <v>49</v>
      </c>
      <c r="B103" s="81"/>
      <c r="C103" s="28"/>
      <c r="D103" s="28"/>
      <c r="E103" s="14"/>
      <c r="F103" s="28"/>
    </row>
    <row r="104" spans="1:6" ht="19.95" customHeight="1">
      <c r="A104" s="95" t="s">
        <v>50</v>
      </c>
      <c r="B104" s="29">
        <v>2</v>
      </c>
      <c r="C104" s="28">
        <v>0.36</v>
      </c>
      <c r="D104" s="28">
        <v>62.82</v>
      </c>
      <c r="E104" s="14">
        <f t="shared" ref="E104:E113" si="1">D104*C104*B104</f>
        <v>45.230399999999996</v>
      </c>
      <c r="F104" s="28"/>
    </row>
    <row r="105" spans="1:6" ht="19.95" customHeight="1">
      <c r="A105" s="95" t="s">
        <v>51</v>
      </c>
      <c r="B105" s="29">
        <v>2</v>
      </c>
      <c r="C105" s="28">
        <v>0.24</v>
      </c>
      <c r="D105" s="28">
        <v>62.82</v>
      </c>
      <c r="E105" s="14">
        <f t="shared" si="1"/>
        <v>30.153599999999997</v>
      </c>
      <c r="F105" s="28"/>
    </row>
    <row r="106" spans="1:6" ht="19.95" customHeight="1">
      <c r="A106" s="95" t="s">
        <v>52</v>
      </c>
      <c r="B106" s="29">
        <v>21</v>
      </c>
      <c r="C106" s="28">
        <v>0.24</v>
      </c>
      <c r="D106" s="28">
        <v>0.2</v>
      </c>
      <c r="E106" s="14">
        <f t="shared" si="1"/>
        <v>1.008</v>
      </c>
      <c r="F106" s="28"/>
    </row>
    <row r="107" spans="1:6" ht="19.95" customHeight="1">
      <c r="A107" s="95" t="s">
        <v>53</v>
      </c>
      <c r="B107" s="29">
        <v>21</v>
      </c>
      <c r="C107" s="28">
        <v>0.36</v>
      </c>
      <c r="D107" s="28">
        <v>1.04</v>
      </c>
      <c r="E107" s="14">
        <f t="shared" si="1"/>
        <v>7.8624000000000001</v>
      </c>
      <c r="F107" s="28"/>
    </row>
    <row r="108" spans="1:6" ht="19.95" customHeight="1">
      <c r="A108" s="53" t="s">
        <v>54</v>
      </c>
      <c r="B108" s="28">
        <v>21</v>
      </c>
      <c r="C108" s="28">
        <v>0.05</v>
      </c>
      <c r="D108" s="28">
        <v>1.19</v>
      </c>
      <c r="E108" s="14">
        <f t="shared" si="1"/>
        <v>1.2494999999999998</v>
      </c>
      <c r="F108" s="28"/>
    </row>
    <row r="109" spans="1:6" ht="19.95" customHeight="1">
      <c r="A109" s="53" t="s">
        <v>56</v>
      </c>
      <c r="B109" s="28">
        <v>1</v>
      </c>
      <c r="C109" s="28">
        <v>0.36</v>
      </c>
      <c r="D109" s="28">
        <v>1.45</v>
      </c>
      <c r="E109" s="14">
        <f t="shared" si="1"/>
        <v>0.52200000000000002</v>
      </c>
      <c r="F109" s="28"/>
    </row>
    <row r="110" spans="1:6" ht="19.95" customHeight="1">
      <c r="A110" s="53" t="s">
        <v>57</v>
      </c>
      <c r="B110" s="29">
        <v>1</v>
      </c>
      <c r="C110" s="28">
        <v>0.36</v>
      </c>
      <c r="D110" s="28">
        <v>0.85</v>
      </c>
      <c r="E110" s="14">
        <f t="shared" si="1"/>
        <v>0.30599999999999999</v>
      </c>
      <c r="F110" s="28"/>
    </row>
    <row r="111" spans="1:6" ht="19.95" customHeight="1">
      <c r="A111" s="53" t="s">
        <v>55</v>
      </c>
      <c r="B111" s="28">
        <v>1</v>
      </c>
      <c r="C111" s="28">
        <v>0.24</v>
      </c>
      <c r="D111" s="28">
        <v>0.65</v>
      </c>
      <c r="E111" s="14">
        <f t="shared" si="1"/>
        <v>0.156</v>
      </c>
      <c r="F111" s="28"/>
    </row>
    <row r="112" spans="1:6" ht="19.95" customHeight="1">
      <c r="A112" s="54" t="s">
        <v>58</v>
      </c>
      <c r="B112" s="14">
        <v>1</v>
      </c>
      <c r="C112" s="14">
        <v>0.24</v>
      </c>
      <c r="D112" s="14">
        <v>62.82</v>
      </c>
      <c r="E112" s="14">
        <f t="shared" si="1"/>
        <v>15.076799999999999</v>
      </c>
      <c r="F112" s="14"/>
    </row>
    <row r="113" spans="1:6" ht="19.95" customHeight="1" thickBot="1">
      <c r="A113" s="54" t="s">
        <v>59</v>
      </c>
      <c r="B113" s="14">
        <v>21</v>
      </c>
      <c r="C113" s="14">
        <v>0.24</v>
      </c>
      <c r="D113" s="86">
        <v>1</v>
      </c>
      <c r="E113" s="86">
        <f t="shared" si="1"/>
        <v>5.04</v>
      </c>
      <c r="F113" s="86"/>
    </row>
    <row r="114" spans="1:6" ht="19.95" customHeight="1" thickBot="1">
      <c r="A114" s="35"/>
      <c r="B114" s="14"/>
      <c r="C114" s="15"/>
      <c r="D114" s="96" t="s">
        <v>29</v>
      </c>
      <c r="E114" s="89">
        <f>SUM(E104:E113)</f>
        <v>106.60469999999999</v>
      </c>
      <c r="F114" s="97" t="s">
        <v>4</v>
      </c>
    </row>
    <row r="115" spans="1:6" ht="19.95" customHeight="1">
      <c r="A115" s="32"/>
      <c r="B115" s="14"/>
      <c r="C115" s="14"/>
      <c r="D115" s="87"/>
      <c r="E115" s="87"/>
      <c r="F115" s="87"/>
    </row>
    <row r="116" spans="1:6" ht="19.95" customHeight="1">
      <c r="A116" s="154" t="s">
        <v>5</v>
      </c>
      <c r="B116" s="154"/>
      <c r="C116" s="154"/>
      <c r="D116" s="154"/>
      <c r="E116" s="154"/>
      <c r="F116" s="154"/>
    </row>
    <row r="117" spans="1:6" ht="19.95" customHeight="1">
      <c r="A117" s="18"/>
      <c r="B117" s="19"/>
      <c r="C117" s="19"/>
      <c r="D117" s="19"/>
      <c r="E117" s="20"/>
      <c r="F117" s="21"/>
    </row>
    <row r="118" spans="1:6" ht="19.95" customHeight="1">
      <c r="A118" s="49" t="s">
        <v>15</v>
      </c>
      <c r="E118" s="7" t="s">
        <v>0</v>
      </c>
      <c r="F118" s="8">
        <v>3</v>
      </c>
    </row>
    <row r="119" spans="1:6" ht="19.95" customHeight="1">
      <c r="A119" s="49" t="s">
        <v>30</v>
      </c>
      <c r="F119" s="23"/>
    </row>
    <row r="120" spans="1:6" ht="19.95" customHeight="1">
      <c r="A120" s="24"/>
      <c r="B120" s="25"/>
      <c r="C120" s="25"/>
      <c r="D120" s="25"/>
      <c r="E120" s="25"/>
      <c r="F120" s="26"/>
    </row>
    <row r="121" spans="1:6" ht="19.95" customHeight="1" thickBot="1">
      <c r="A121" s="69" t="s">
        <v>6</v>
      </c>
      <c r="B121" s="69" t="s">
        <v>7</v>
      </c>
      <c r="C121" s="69" t="s">
        <v>8</v>
      </c>
      <c r="D121" s="69" t="s">
        <v>9</v>
      </c>
      <c r="E121" s="69" t="s">
        <v>10</v>
      </c>
      <c r="F121" s="69" t="s">
        <v>11</v>
      </c>
    </row>
    <row r="122" spans="1:6" ht="19.95" customHeight="1" thickBot="1">
      <c r="A122" s="83" t="s">
        <v>31</v>
      </c>
      <c r="B122" s="32"/>
      <c r="C122" s="32"/>
      <c r="D122" s="32"/>
      <c r="E122" s="32"/>
      <c r="F122" s="32"/>
    </row>
    <row r="123" spans="1:6" ht="19.95" customHeight="1">
      <c r="A123" s="102" t="s">
        <v>60</v>
      </c>
      <c r="B123" s="101"/>
      <c r="C123" s="88"/>
      <c r="D123" s="88"/>
      <c r="E123" s="88"/>
      <c r="F123" s="100"/>
    </row>
    <row r="124" spans="1:6" ht="19.95" customHeight="1">
      <c r="A124" s="98" t="s">
        <v>61</v>
      </c>
      <c r="B124" s="28"/>
      <c r="C124" s="28"/>
      <c r="D124" s="28"/>
      <c r="E124" s="28"/>
      <c r="F124" s="29"/>
    </row>
    <row r="125" spans="1:6" ht="19.95" customHeight="1">
      <c r="A125" s="42" t="s">
        <v>62</v>
      </c>
      <c r="B125" s="28">
        <v>2</v>
      </c>
      <c r="C125" s="28">
        <v>0.24</v>
      </c>
      <c r="D125" s="28">
        <v>27.13</v>
      </c>
      <c r="E125" s="28">
        <f>D125*C125*B125</f>
        <v>13.022399999999999</v>
      </c>
      <c r="F125" s="29"/>
    </row>
    <row r="126" spans="1:6" ht="19.95" customHeight="1">
      <c r="A126" s="42" t="s">
        <v>63</v>
      </c>
      <c r="B126" s="28">
        <v>2</v>
      </c>
      <c r="C126" s="28">
        <v>0.24</v>
      </c>
      <c r="D126" s="28">
        <v>44.36</v>
      </c>
      <c r="E126" s="28">
        <f t="shared" ref="E126:E129" si="2">D126*C126*B126</f>
        <v>21.2928</v>
      </c>
      <c r="F126" s="29"/>
    </row>
    <row r="127" spans="1:6" ht="19.95" customHeight="1">
      <c r="A127" s="42" t="s">
        <v>64</v>
      </c>
      <c r="B127" s="28">
        <v>2</v>
      </c>
      <c r="C127" s="28">
        <v>0.16</v>
      </c>
      <c r="D127" s="28">
        <v>44.81</v>
      </c>
      <c r="E127" s="28">
        <f t="shared" si="2"/>
        <v>14.339200000000002</v>
      </c>
      <c r="F127" s="29"/>
    </row>
    <row r="128" spans="1:6" ht="19.95" customHeight="1">
      <c r="A128" s="42" t="s">
        <v>65</v>
      </c>
      <c r="B128" s="28">
        <v>2</v>
      </c>
      <c r="C128" s="28">
        <v>0.16</v>
      </c>
      <c r="D128" s="28">
        <v>27.43</v>
      </c>
      <c r="E128" s="28">
        <f t="shared" si="2"/>
        <v>8.7775999999999996</v>
      </c>
      <c r="F128" s="29"/>
    </row>
    <row r="129" spans="1:6" ht="19.95" customHeight="1">
      <c r="A129" s="42" t="s">
        <v>66</v>
      </c>
      <c r="B129" s="28">
        <v>2</v>
      </c>
      <c r="C129" s="28">
        <v>0.16</v>
      </c>
      <c r="D129" s="28">
        <v>9.9700000000000006</v>
      </c>
      <c r="E129" s="28">
        <f t="shared" si="2"/>
        <v>3.1904000000000003</v>
      </c>
      <c r="F129" s="29"/>
    </row>
    <row r="130" spans="1:6" ht="19.95" customHeight="1">
      <c r="A130" s="48" t="s">
        <v>67</v>
      </c>
      <c r="B130" s="28"/>
      <c r="C130" s="28"/>
      <c r="D130" s="28"/>
      <c r="E130" s="28"/>
      <c r="F130" s="29"/>
    </row>
    <row r="131" spans="1:6" ht="19.95" customHeight="1">
      <c r="A131" s="42" t="s">
        <v>68</v>
      </c>
      <c r="B131" s="28">
        <v>2</v>
      </c>
      <c r="C131" s="28">
        <v>0.19</v>
      </c>
      <c r="D131" s="28">
        <v>9.5</v>
      </c>
      <c r="E131" s="28">
        <f>D131*C131*B131</f>
        <v>3.61</v>
      </c>
      <c r="F131" s="29"/>
    </row>
    <row r="132" spans="1:6" ht="19.95" customHeight="1" thickBot="1">
      <c r="A132" s="48" t="s">
        <v>69</v>
      </c>
      <c r="B132" s="28">
        <v>2</v>
      </c>
      <c r="C132" s="28">
        <v>0.28000000000000003</v>
      </c>
      <c r="D132" s="85">
        <v>3.2</v>
      </c>
      <c r="E132" s="85">
        <f>D132*C132*B132</f>
        <v>1.7920000000000003</v>
      </c>
      <c r="F132" s="99"/>
    </row>
    <row r="133" spans="1:6" ht="19.95" customHeight="1" thickBot="1">
      <c r="A133" s="42"/>
      <c r="B133" s="28"/>
      <c r="C133" s="84"/>
      <c r="D133" s="78" t="s">
        <v>29</v>
      </c>
      <c r="E133" s="79">
        <f>SUM(E125:E132)</f>
        <v>66.0244</v>
      </c>
      <c r="F133" s="80" t="s">
        <v>4</v>
      </c>
    </row>
    <row r="134" spans="1:6" ht="19.95" customHeight="1">
      <c r="A134" s="42"/>
      <c r="B134" s="28"/>
      <c r="C134" s="28"/>
      <c r="D134" s="28"/>
      <c r="E134" s="28"/>
      <c r="F134" s="29"/>
    </row>
    <row r="135" spans="1:6" ht="19.95" customHeight="1">
      <c r="A135" s="42"/>
      <c r="B135" s="28"/>
      <c r="C135" s="28"/>
      <c r="D135" s="28"/>
      <c r="E135" s="28"/>
      <c r="F135" s="29"/>
    </row>
    <row r="136" spans="1:6" ht="19.95" customHeight="1">
      <c r="A136" s="42"/>
      <c r="B136" s="28"/>
      <c r="C136" s="28"/>
      <c r="D136" s="28"/>
      <c r="E136" s="28"/>
      <c r="F136" s="29"/>
    </row>
    <row r="137" spans="1:6" ht="19.95" customHeight="1">
      <c r="A137" s="42"/>
      <c r="B137" s="28"/>
      <c r="C137" s="28"/>
      <c r="D137" s="28"/>
      <c r="E137" s="28"/>
      <c r="F137" s="29"/>
    </row>
    <row r="138" spans="1:6" ht="19.95" customHeight="1">
      <c r="A138" s="42"/>
      <c r="B138" s="28"/>
      <c r="C138" s="28"/>
      <c r="D138" s="28"/>
      <c r="E138" s="28"/>
      <c r="F138" s="29"/>
    </row>
    <row r="139" spans="1:6" ht="19.95" customHeight="1">
      <c r="A139" s="54"/>
      <c r="B139" s="29"/>
      <c r="C139" s="29"/>
      <c r="D139" s="28"/>
      <c r="E139" s="28"/>
      <c r="F139" s="29"/>
    </row>
    <row r="140" spans="1:6" ht="19.95" customHeight="1">
      <c r="A140" s="56"/>
      <c r="B140" s="29"/>
      <c r="C140" s="36"/>
      <c r="D140" s="28"/>
      <c r="E140" s="28"/>
      <c r="F140" s="29"/>
    </row>
    <row r="141" spans="1:6" ht="19.95" customHeight="1">
      <c r="A141" s="56"/>
      <c r="B141" s="29"/>
      <c r="C141" s="36"/>
      <c r="D141" s="28"/>
      <c r="E141" s="28"/>
      <c r="F141" s="29"/>
    </row>
    <row r="142" spans="1:6" ht="19.95" customHeight="1">
      <c r="A142" s="54"/>
      <c r="B142" s="29"/>
      <c r="C142" s="29"/>
      <c r="D142" s="28"/>
      <c r="E142" s="28"/>
      <c r="F142" s="29"/>
    </row>
    <row r="143" spans="1:6" ht="19.95" customHeight="1">
      <c r="A143" s="54"/>
      <c r="B143" s="29"/>
      <c r="C143" s="29"/>
      <c r="D143" s="28"/>
      <c r="E143" s="28"/>
      <c r="F143" s="29"/>
    </row>
    <row r="144" spans="1:6" ht="19.95" customHeight="1">
      <c r="A144" s="42"/>
      <c r="B144" s="28"/>
      <c r="C144" s="28"/>
      <c r="D144" s="28"/>
      <c r="E144" s="28"/>
      <c r="F144" s="29"/>
    </row>
    <row r="145" spans="1:6" ht="19.95" customHeight="1">
      <c r="A145" s="55"/>
      <c r="B145" s="14"/>
      <c r="C145" s="14"/>
      <c r="D145" s="14"/>
      <c r="E145" s="14"/>
      <c r="F145" s="29"/>
    </row>
    <row r="146" spans="1:6" ht="19.95" customHeight="1">
      <c r="A146" s="42"/>
      <c r="B146" s="28"/>
      <c r="C146" s="28"/>
      <c r="D146" s="28"/>
      <c r="E146" s="28"/>
      <c r="F146" s="29"/>
    </row>
    <row r="147" spans="1:6" ht="19.95" customHeight="1">
      <c r="A147" s="42"/>
      <c r="B147" s="28"/>
      <c r="C147" s="28"/>
      <c r="D147" s="28"/>
      <c r="E147" s="28"/>
      <c r="F147" s="29"/>
    </row>
    <row r="148" spans="1:6" ht="19.95" customHeight="1">
      <c r="A148" s="34"/>
      <c r="B148" s="29"/>
      <c r="C148" s="29"/>
      <c r="D148" s="28"/>
      <c r="E148" s="28"/>
      <c r="F148" s="29"/>
    </row>
    <row r="149" spans="1:6" ht="19.95" customHeight="1">
      <c r="A149" s="34"/>
      <c r="B149" s="29"/>
      <c r="C149" s="29"/>
      <c r="D149" s="28"/>
      <c r="E149" s="28"/>
      <c r="F149" s="29"/>
    </row>
    <row r="150" spans="1:6" ht="19.95" customHeight="1">
      <c r="A150" s="34"/>
      <c r="B150" s="29"/>
      <c r="C150" s="29"/>
      <c r="D150" s="28"/>
      <c r="E150" s="28"/>
      <c r="F150" s="29"/>
    </row>
    <row r="151" spans="1:6" ht="19.95" customHeight="1">
      <c r="A151" s="34"/>
      <c r="B151" s="29"/>
      <c r="C151" s="29"/>
      <c r="D151" s="29"/>
      <c r="E151" s="29"/>
      <c r="F151" s="29"/>
    </row>
    <row r="152" spans="1:6" ht="19.95" customHeight="1">
      <c r="A152" s="35"/>
      <c r="B152" s="29"/>
      <c r="C152" s="29"/>
      <c r="D152" s="29"/>
      <c r="E152" s="29"/>
      <c r="F152" s="29"/>
    </row>
    <row r="153" spans="1:6" ht="19.95" customHeight="1">
      <c r="A153" s="32"/>
      <c r="B153" s="29"/>
      <c r="C153" s="29"/>
      <c r="D153" s="29"/>
      <c r="E153" s="29"/>
      <c r="F153" s="29"/>
    </row>
    <row r="154" spans="1:6" ht="19.95" customHeight="1">
      <c r="A154" s="154" t="s">
        <v>5</v>
      </c>
      <c r="B154" s="154"/>
      <c r="C154" s="154"/>
      <c r="D154" s="154"/>
      <c r="E154" s="154"/>
      <c r="F154" s="154"/>
    </row>
    <row r="155" spans="1:6" ht="19.95" customHeight="1">
      <c r="A155" s="18"/>
      <c r="B155" s="19"/>
      <c r="C155" s="19"/>
      <c r="D155" s="19"/>
      <c r="E155" s="20"/>
      <c r="F155" s="21"/>
    </row>
    <row r="156" spans="1:6" ht="19.95" customHeight="1">
      <c r="A156" s="49" t="s">
        <v>15</v>
      </c>
      <c r="E156" s="7" t="s">
        <v>0</v>
      </c>
      <c r="F156" s="8">
        <v>4</v>
      </c>
    </row>
    <row r="157" spans="1:6" ht="19.95" customHeight="1">
      <c r="A157" s="49" t="s">
        <v>71</v>
      </c>
      <c r="F157" s="23"/>
    </row>
    <row r="158" spans="1:6" ht="19.95" customHeight="1">
      <c r="A158" s="24"/>
      <c r="B158" s="25"/>
      <c r="C158" s="25"/>
      <c r="D158" s="25"/>
      <c r="E158" s="25"/>
      <c r="F158" s="26"/>
    </row>
    <row r="159" spans="1:6" ht="19.95" customHeight="1" thickBot="1">
      <c r="A159" s="13" t="s">
        <v>6</v>
      </c>
      <c r="B159" s="13" t="s">
        <v>7</v>
      </c>
      <c r="C159" s="13" t="s">
        <v>8</v>
      </c>
      <c r="D159" s="13" t="s">
        <v>9</v>
      </c>
      <c r="E159" s="13" t="s">
        <v>10</v>
      </c>
      <c r="F159" s="13" t="s">
        <v>11</v>
      </c>
    </row>
    <row r="160" spans="1:6" ht="19.95" customHeight="1" thickBot="1">
      <c r="A160" s="70" t="s">
        <v>131</v>
      </c>
      <c r="B160" s="28"/>
      <c r="C160" s="28"/>
      <c r="D160" s="28"/>
      <c r="E160" s="29"/>
      <c r="F160" s="29"/>
    </row>
    <row r="161" spans="1:6" ht="19.95" customHeight="1">
      <c r="A161" s="71" t="s">
        <v>26</v>
      </c>
      <c r="B161" s="28">
        <v>1</v>
      </c>
      <c r="C161" s="28">
        <v>3.56</v>
      </c>
      <c r="D161" s="28">
        <v>62.82</v>
      </c>
      <c r="E161" s="29">
        <f>D161*C161*B161</f>
        <v>223.63920000000002</v>
      </c>
      <c r="F161" s="29"/>
    </row>
    <row r="162" spans="1:6" ht="19.95" customHeight="1">
      <c r="A162" s="42" t="s">
        <v>72</v>
      </c>
      <c r="B162" s="28">
        <v>21</v>
      </c>
      <c r="C162" s="28">
        <v>0.53</v>
      </c>
      <c r="D162" s="28">
        <v>0.84</v>
      </c>
      <c r="E162" s="29"/>
      <c r="F162" s="29">
        <f>D162*C162*B162</f>
        <v>9.3491999999999997</v>
      </c>
    </row>
    <row r="163" spans="1:6" ht="19.95" customHeight="1">
      <c r="A163" s="42" t="s">
        <v>73</v>
      </c>
      <c r="B163" s="28">
        <v>3</v>
      </c>
      <c r="C163" s="28">
        <v>0.4</v>
      </c>
      <c r="D163" s="28">
        <v>0.2</v>
      </c>
      <c r="E163" s="14"/>
      <c r="F163" s="29">
        <f>D163*C163*B163</f>
        <v>0.24000000000000005</v>
      </c>
    </row>
    <row r="164" spans="1:6" ht="19.95" customHeight="1">
      <c r="A164" s="48" t="s">
        <v>74</v>
      </c>
      <c r="B164" s="28">
        <v>3</v>
      </c>
      <c r="C164" s="28">
        <v>0.11</v>
      </c>
      <c r="D164" s="28">
        <v>0.09</v>
      </c>
      <c r="E164" s="14"/>
      <c r="F164" s="29">
        <f>D164*C164*B164</f>
        <v>2.9699999999999997E-2</v>
      </c>
    </row>
    <row r="165" spans="1:6" ht="19.95" customHeight="1">
      <c r="A165" s="42" t="s">
        <v>76</v>
      </c>
      <c r="B165" s="28">
        <v>42</v>
      </c>
      <c r="C165" s="28">
        <v>3.105</v>
      </c>
      <c r="D165" s="28">
        <v>0.04</v>
      </c>
      <c r="E165" s="14">
        <f>D165*C165*B165</f>
        <v>5.2164000000000001</v>
      </c>
      <c r="F165" s="29"/>
    </row>
    <row r="166" spans="1:6" ht="19.95" customHeight="1">
      <c r="A166" s="42" t="s">
        <v>77</v>
      </c>
      <c r="B166" s="28">
        <v>21</v>
      </c>
      <c r="C166" s="28">
        <v>0.05</v>
      </c>
      <c r="D166" s="28">
        <v>2.4500000000000002</v>
      </c>
      <c r="E166" s="29">
        <f>D166*C166*B166</f>
        <v>2.5725000000000002</v>
      </c>
      <c r="F166" s="29"/>
    </row>
    <row r="167" spans="1:6" ht="19.95" customHeight="1">
      <c r="A167" s="42" t="s">
        <v>78</v>
      </c>
      <c r="B167" s="28">
        <v>21</v>
      </c>
      <c r="C167" s="28">
        <v>0.05</v>
      </c>
      <c r="D167" s="28">
        <v>0.22</v>
      </c>
      <c r="E167" s="29">
        <f>D167*C167*B167</f>
        <v>0.23100000000000001</v>
      </c>
      <c r="F167" s="29"/>
    </row>
    <row r="168" spans="1:6" ht="19.95" customHeight="1">
      <c r="A168" s="30"/>
      <c r="B168" s="28"/>
      <c r="C168" s="28"/>
      <c r="D168" s="28"/>
      <c r="E168" s="29"/>
      <c r="F168" s="29"/>
    </row>
    <row r="169" spans="1:6" ht="19.95" customHeight="1">
      <c r="A169" s="71" t="s">
        <v>22</v>
      </c>
      <c r="B169" s="28">
        <v>1</v>
      </c>
      <c r="C169" s="28">
        <v>3.02</v>
      </c>
      <c r="D169" s="28">
        <v>62.82</v>
      </c>
      <c r="E169" s="14">
        <f>D169*C169*B169</f>
        <v>189.71639999999999</v>
      </c>
      <c r="F169" s="29"/>
    </row>
    <row r="170" spans="1:6" ht="19.95" customHeight="1">
      <c r="A170" s="30"/>
      <c r="B170" s="28"/>
      <c r="C170" s="28"/>
      <c r="D170" s="28"/>
      <c r="E170" s="29"/>
      <c r="F170" s="29"/>
    </row>
    <row r="171" spans="1:6" ht="19.95" customHeight="1">
      <c r="A171" s="71" t="s">
        <v>16</v>
      </c>
      <c r="B171" s="28">
        <v>1</v>
      </c>
      <c r="C171" s="28">
        <v>3.56</v>
      </c>
      <c r="D171" s="28">
        <v>62.82</v>
      </c>
      <c r="E171" s="14">
        <f>D171*C171*B171</f>
        <v>223.63920000000002</v>
      </c>
      <c r="F171" s="29"/>
    </row>
    <row r="172" spans="1:6" ht="19.95" customHeight="1">
      <c r="A172" s="42" t="s">
        <v>72</v>
      </c>
      <c r="B172" s="28">
        <v>21</v>
      </c>
      <c r="C172" s="28">
        <v>0.53</v>
      </c>
      <c r="D172" s="28">
        <v>0.83</v>
      </c>
      <c r="E172" s="14"/>
      <c r="F172" s="29">
        <f>D172*C172*B172</f>
        <v>9.2378999999999998</v>
      </c>
    </row>
    <row r="173" spans="1:6" ht="19.95" customHeight="1">
      <c r="A173" s="42" t="s">
        <v>79</v>
      </c>
      <c r="B173" s="28">
        <v>63</v>
      </c>
      <c r="C173" s="28">
        <v>0.2</v>
      </c>
      <c r="D173" s="28">
        <v>0.4</v>
      </c>
      <c r="E173" s="29"/>
      <c r="F173" s="29">
        <f>D173*C173*B173</f>
        <v>5.0400000000000009</v>
      </c>
    </row>
    <row r="174" spans="1:6" ht="19.95" customHeight="1">
      <c r="A174" s="42" t="s">
        <v>73</v>
      </c>
      <c r="B174" s="28">
        <v>63</v>
      </c>
      <c r="C174" s="28">
        <v>0.09</v>
      </c>
      <c r="D174" s="28">
        <v>0.1</v>
      </c>
      <c r="E174" s="29"/>
      <c r="F174" s="29">
        <f>D174*C174*B174</f>
        <v>0.56699999999999995</v>
      </c>
    </row>
    <row r="175" spans="1:6" ht="19.95" customHeight="1">
      <c r="A175" s="42" t="s">
        <v>73</v>
      </c>
      <c r="B175" s="28">
        <v>21</v>
      </c>
      <c r="C175" s="28">
        <v>0.05</v>
      </c>
      <c r="D175" s="28">
        <v>0.11</v>
      </c>
      <c r="E175" s="14"/>
      <c r="F175" s="29">
        <f>D175*C175*B175</f>
        <v>0.11550000000000001</v>
      </c>
    </row>
    <row r="176" spans="1:6" ht="19.95" customHeight="1">
      <c r="A176" s="42" t="s">
        <v>73</v>
      </c>
      <c r="B176" s="28">
        <v>21</v>
      </c>
      <c r="C176" s="28">
        <v>0.2</v>
      </c>
      <c r="D176" s="28">
        <v>0.11</v>
      </c>
      <c r="E176" s="29"/>
      <c r="F176" s="29">
        <f>D176*C176*B176</f>
        <v>0.46200000000000002</v>
      </c>
    </row>
    <row r="177" spans="1:6" ht="19.95" customHeight="1">
      <c r="A177" s="42" t="s">
        <v>75</v>
      </c>
      <c r="B177" s="28">
        <v>42</v>
      </c>
      <c r="C177" s="28">
        <v>3.105</v>
      </c>
      <c r="D177" s="28">
        <v>0.04</v>
      </c>
      <c r="E177" s="29">
        <f>D177*C177*B177</f>
        <v>5.2164000000000001</v>
      </c>
      <c r="F177" s="32"/>
    </row>
    <row r="178" spans="1:6" ht="19.95" customHeight="1">
      <c r="A178" s="103" t="s">
        <v>80</v>
      </c>
      <c r="B178" s="28">
        <v>21</v>
      </c>
      <c r="C178" s="28">
        <v>0.05</v>
      </c>
      <c r="D178" s="28">
        <v>2.4500000000000002</v>
      </c>
      <c r="E178" s="29">
        <f>D178*C178*B178</f>
        <v>2.5725000000000002</v>
      </c>
      <c r="F178" s="29"/>
    </row>
    <row r="179" spans="1:6" ht="19.95" customHeight="1">
      <c r="A179" s="103" t="s">
        <v>78</v>
      </c>
      <c r="B179" s="28">
        <v>21</v>
      </c>
      <c r="C179" s="28">
        <v>0.05</v>
      </c>
      <c r="D179" s="28">
        <v>0.22</v>
      </c>
      <c r="E179" s="14">
        <f>D179*C179*B179</f>
        <v>0.23100000000000001</v>
      </c>
      <c r="F179" s="29"/>
    </row>
    <row r="180" spans="1:6" ht="19.95" customHeight="1">
      <c r="A180" s="30"/>
      <c r="B180" s="28"/>
      <c r="C180" s="28"/>
      <c r="D180" s="28"/>
      <c r="E180" s="29"/>
      <c r="F180" s="29"/>
    </row>
    <row r="181" spans="1:6" ht="19.95" customHeight="1">
      <c r="A181" s="71" t="s">
        <v>27</v>
      </c>
      <c r="B181" s="28">
        <v>1</v>
      </c>
      <c r="C181" s="28">
        <v>3.1</v>
      </c>
      <c r="D181" s="28">
        <v>62.82</v>
      </c>
      <c r="E181" s="14">
        <f>D181*C181*B181</f>
        <v>194.74200000000002</v>
      </c>
      <c r="F181" s="29"/>
    </row>
    <row r="182" spans="1:6" ht="19.95" customHeight="1">
      <c r="A182" s="42" t="s">
        <v>72</v>
      </c>
      <c r="B182" s="28">
        <v>42</v>
      </c>
      <c r="C182" s="28">
        <v>0.53</v>
      </c>
      <c r="D182" s="28">
        <v>1.6850000000000001</v>
      </c>
      <c r="E182" s="14"/>
      <c r="F182" s="29">
        <f>D182*C182*B182</f>
        <v>37.508100000000006</v>
      </c>
    </row>
    <row r="183" spans="1:6" ht="19.95" customHeight="1" thickBot="1">
      <c r="A183" s="42" t="s">
        <v>79</v>
      </c>
      <c r="B183" s="28">
        <v>42</v>
      </c>
      <c r="C183" s="28">
        <v>0.2</v>
      </c>
      <c r="D183" s="85">
        <v>0.4</v>
      </c>
      <c r="E183" s="99"/>
      <c r="F183" s="99">
        <f>D183*C183*B183</f>
        <v>3.3600000000000008</v>
      </c>
    </row>
    <row r="184" spans="1:6" ht="19.95" customHeight="1" thickBot="1">
      <c r="A184" s="30"/>
      <c r="B184" s="28"/>
      <c r="C184" s="84"/>
      <c r="D184" s="73" t="s">
        <v>29</v>
      </c>
      <c r="E184" s="121">
        <f>SUM(E161:E183)</f>
        <v>847.77659999999992</v>
      </c>
      <c r="F184" s="122">
        <f>SUM(F161:F183)</f>
        <v>65.909400000000005</v>
      </c>
    </row>
    <row r="185" spans="1:6" ht="19.95" customHeight="1" thickBot="1">
      <c r="A185" s="30"/>
      <c r="B185" s="28"/>
      <c r="C185" s="28"/>
      <c r="D185" s="105"/>
      <c r="E185" s="92"/>
      <c r="F185" s="106"/>
    </row>
    <row r="186" spans="1:6" ht="19.95" customHeight="1" thickBot="1">
      <c r="A186" s="34"/>
      <c r="B186" s="29"/>
      <c r="C186" s="84"/>
      <c r="D186" s="78" t="s">
        <v>29</v>
      </c>
      <c r="E186" s="104">
        <f>E184-F184</f>
        <v>781.86719999999991</v>
      </c>
      <c r="F186" s="80" t="s">
        <v>4</v>
      </c>
    </row>
    <row r="187" spans="1:6" ht="19.95" customHeight="1">
      <c r="A187" s="34"/>
      <c r="B187" s="29"/>
      <c r="C187" s="28"/>
      <c r="D187" s="88"/>
      <c r="E187" s="87"/>
      <c r="F187" s="100"/>
    </row>
    <row r="188" spans="1:6" ht="19.95" customHeight="1">
      <c r="A188" s="34"/>
      <c r="B188" s="29"/>
      <c r="C188" s="28"/>
      <c r="D188" s="28"/>
      <c r="E188" s="29"/>
      <c r="F188" s="29"/>
    </row>
    <row r="189" spans="1:6" ht="19.95" customHeight="1">
      <c r="A189" s="34"/>
      <c r="B189" s="29"/>
      <c r="C189" s="28"/>
      <c r="D189" s="28"/>
      <c r="E189" s="14"/>
      <c r="F189" s="29"/>
    </row>
    <row r="190" spans="1:6" ht="19.95" customHeight="1">
      <c r="A190" s="35"/>
      <c r="B190" s="29"/>
      <c r="C190" s="29"/>
      <c r="D190" s="29"/>
      <c r="E190" s="29"/>
      <c r="F190" s="29"/>
    </row>
    <row r="191" spans="1:6" ht="19.95" customHeight="1">
      <c r="A191" s="32"/>
      <c r="B191" s="14"/>
      <c r="C191" s="14"/>
      <c r="D191" s="14"/>
      <c r="E191" s="14"/>
      <c r="F191" s="14"/>
    </row>
    <row r="192" spans="1:6" ht="19.95" customHeight="1">
      <c r="A192" s="154" t="s">
        <v>5</v>
      </c>
      <c r="B192" s="154"/>
      <c r="C192" s="154"/>
      <c r="D192" s="154"/>
      <c r="E192" s="154"/>
      <c r="F192" s="154"/>
    </row>
    <row r="193" spans="1:6" ht="19.95" customHeight="1">
      <c r="A193" s="18"/>
      <c r="B193" s="19"/>
      <c r="C193" s="19"/>
      <c r="D193" s="19"/>
      <c r="E193" s="20"/>
      <c r="F193" s="21"/>
    </row>
    <row r="194" spans="1:6" ht="19.95" customHeight="1">
      <c r="A194" s="49" t="s">
        <v>15</v>
      </c>
      <c r="E194" s="7" t="s">
        <v>0</v>
      </c>
      <c r="F194" s="8">
        <v>5</v>
      </c>
    </row>
    <row r="195" spans="1:6" ht="19.95" customHeight="1">
      <c r="A195" s="49" t="s">
        <v>81</v>
      </c>
      <c r="F195" s="23"/>
    </row>
    <row r="196" spans="1:6" ht="19.95" customHeight="1">
      <c r="A196" s="24"/>
      <c r="B196" s="25"/>
      <c r="C196" s="25"/>
      <c r="D196" s="25"/>
      <c r="E196" s="25"/>
      <c r="F196" s="26"/>
    </row>
    <row r="197" spans="1:6" ht="19.95" customHeight="1" thickBot="1">
      <c r="A197" s="69" t="s">
        <v>6</v>
      </c>
      <c r="B197" s="13" t="s">
        <v>7</v>
      </c>
      <c r="C197" s="13" t="s">
        <v>8</v>
      </c>
      <c r="D197" s="13" t="s">
        <v>9</v>
      </c>
      <c r="E197" s="13" t="s">
        <v>10</v>
      </c>
      <c r="F197" s="13" t="s">
        <v>11</v>
      </c>
    </row>
    <row r="198" spans="1:6" ht="19.95" customHeight="1" thickBot="1">
      <c r="A198" s="83" t="s">
        <v>82</v>
      </c>
      <c r="B198" s="107"/>
      <c r="C198" s="31"/>
      <c r="D198" s="31"/>
      <c r="E198" s="29"/>
      <c r="F198" s="29"/>
    </row>
    <row r="199" spans="1:6" ht="19.95" customHeight="1">
      <c r="A199" s="108" t="s">
        <v>94</v>
      </c>
      <c r="B199" s="28"/>
      <c r="C199" s="28"/>
      <c r="D199" s="28"/>
      <c r="E199" s="29"/>
      <c r="F199" s="29"/>
    </row>
    <row r="200" spans="1:6" ht="19.95" customHeight="1">
      <c r="A200" s="53" t="s">
        <v>32</v>
      </c>
      <c r="B200" s="28">
        <v>1</v>
      </c>
      <c r="C200" s="28">
        <v>0.36</v>
      </c>
      <c r="D200" s="28">
        <v>62.07</v>
      </c>
      <c r="E200" s="29">
        <f>D200*C200*B200</f>
        <v>22.345199999999998</v>
      </c>
      <c r="F200" s="29"/>
    </row>
    <row r="201" spans="1:6" ht="19.95" customHeight="1">
      <c r="A201" s="53" t="s">
        <v>83</v>
      </c>
      <c r="B201" s="28">
        <v>1</v>
      </c>
      <c r="C201" s="28">
        <v>0.36</v>
      </c>
      <c r="D201" s="28">
        <v>63.1</v>
      </c>
      <c r="E201" s="29">
        <f t="shared" ref="E201:E216" si="3">D201*C201*B201</f>
        <v>22.716000000000001</v>
      </c>
      <c r="F201" s="29"/>
    </row>
    <row r="202" spans="1:6" ht="19.95" customHeight="1">
      <c r="A202" s="53" t="s">
        <v>34</v>
      </c>
      <c r="B202" s="28">
        <v>1</v>
      </c>
      <c r="C202" s="28">
        <v>0.24</v>
      </c>
      <c r="D202" s="28">
        <v>62.395000000000003</v>
      </c>
      <c r="E202" s="29">
        <f t="shared" si="3"/>
        <v>14.9748</v>
      </c>
      <c r="F202" s="29"/>
    </row>
    <row r="203" spans="1:6" ht="19.95" customHeight="1">
      <c r="A203" s="53" t="s">
        <v>35</v>
      </c>
      <c r="B203" s="29">
        <v>1</v>
      </c>
      <c r="C203" s="28">
        <v>0.16</v>
      </c>
      <c r="D203" s="28">
        <v>61.7</v>
      </c>
      <c r="E203" s="29">
        <f t="shared" si="3"/>
        <v>9.8719999999999999</v>
      </c>
      <c r="F203" s="29"/>
    </row>
    <row r="204" spans="1:6" ht="19.95" customHeight="1">
      <c r="A204" s="53" t="s">
        <v>36</v>
      </c>
      <c r="B204" s="29">
        <v>1</v>
      </c>
      <c r="C204" s="28">
        <v>0.12</v>
      </c>
      <c r="D204" s="28">
        <v>61.84</v>
      </c>
      <c r="E204" s="29">
        <f t="shared" si="3"/>
        <v>7.4207999999999998</v>
      </c>
      <c r="F204" s="29"/>
    </row>
    <row r="205" spans="1:6" ht="19.95" customHeight="1">
      <c r="A205" s="53" t="s">
        <v>84</v>
      </c>
      <c r="B205" s="29">
        <v>2</v>
      </c>
      <c r="C205" s="28">
        <v>0.19</v>
      </c>
      <c r="D205" s="28">
        <v>62.82</v>
      </c>
      <c r="E205" s="29">
        <f t="shared" si="3"/>
        <v>23.871600000000001</v>
      </c>
      <c r="F205" s="29"/>
    </row>
    <row r="206" spans="1:6" ht="19.95" customHeight="1">
      <c r="A206" s="110" t="s">
        <v>85</v>
      </c>
      <c r="B206" s="29">
        <v>21</v>
      </c>
      <c r="C206" s="28">
        <v>0.12</v>
      </c>
      <c r="D206" s="28">
        <v>1.0900000000000001</v>
      </c>
      <c r="E206" s="29">
        <f t="shared" si="3"/>
        <v>2.7467999999999999</v>
      </c>
      <c r="F206" s="29"/>
    </row>
    <row r="207" spans="1:6" ht="19.95" customHeight="1">
      <c r="A207" s="109" t="s">
        <v>85</v>
      </c>
      <c r="B207" s="29">
        <v>21</v>
      </c>
      <c r="C207" s="28">
        <v>0.05</v>
      </c>
      <c r="D207" s="28">
        <v>1.175</v>
      </c>
      <c r="E207" s="29">
        <f t="shared" si="3"/>
        <v>1.2337500000000001</v>
      </c>
      <c r="F207" s="29"/>
    </row>
    <row r="208" spans="1:6" ht="19.95" customHeight="1">
      <c r="A208" s="33" t="s">
        <v>86</v>
      </c>
      <c r="B208" s="29">
        <v>21</v>
      </c>
      <c r="C208" s="28">
        <v>0.12</v>
      </c>
      <c r="D208" s="28">
        <v>1.335</v>
      </c>
      <c r="E208" s="29">
        <f t="shared" si="3"/>
        <v>3.3641999999999994</v>
      </c>
      <c r="F208" s="29"/>
    </row>
    <row r="209" spans="1:6" ht="19.95" customHeight="1">
      <c r="A209" s="33" t="s">
        <v>87</v>
      </c>
      <c r="B209" s="14">
        <v>21</v>
      </c>
      <c r="C209" s="28">
        <v>0.05</v>
      </c>
      <c r="D209" s="28">
        <v>1.9550000000000001</v>
      </c>
      <c r="E209" s="29">
        <f t="shared" si="3"/>
        <v>2.0527500000000001</v>
      </c>
      <c r="F209" s="29"/>
    </row>
    <row r="210" spans="1:6" ht="19.95" customHeight="1">
      <c r="A210" s="33" t="s">
        <v>87</v>
      </c>
      <c r="B210" s="14">
        <v>21</v>
      </c>
      <c r="C210" s="28">
        <v>0.05</v>
      </c>
      <c r="D210" s="28">
        <v>0.55000000000000004</v>
      </c>
      <c r="E210" s="29">
        <f t="shared" si="3"/>
        <v>0.57750000000000012</v>
      </c>
      <c r="F210" s="29"/>
    </row>
    <row r="211" spans="1:6" ht="19.95" customHeight="1">
      <c r="A211" s="34" t="s">
        <v>88</v>
      </c>
      <c r="B211" s="14">
        <v>1</v>
      </c>
      <c r="C211" s="14">
        <v>0.11</v>
      </c>
      <c r="D211" s="14">
        <v>62.82</v>
      </c>
      <c r="E211" s="14">
        <f t="shared" si="3"/>
        <v>6.9101999999999997</v>
      </c>
      <c r="F211" s="14"/>
    </row>
    <row r="212" spans="1:6" ht="19.95" customHeight="1">
      <c r="A212" s="54" t="s">
        <v>89</v>
      </c>
      <c r="B212" s="14">
        <v>21</v>
      </c>
      <c r="C212" s="14">
        <v>0.11</v>
      </c>
      <c r="D212" s="14">
        <v>0.67</v>
      </c>
      <c r="E212" s="14">
        <f t="shared" si="3"/>
        <v>1.5477000000000001</v>
      </c>
      <c r="F212" s="14"/>
    </row>
    <row r="213" spans="1:6" ht="19.95" customHeight="1">
      <c r="A213" s="54" t="s">
        <v>90</v>
      </c>
      <c r="B213" s="14">
        <v>1</v>
      </c>
      <c r="C213" s="14">
        <v>0.36</v>
      </c>
      <c r="D213" s="14">
        <v>3.0449999999999999</v>
      </c>
      <c r="E213" s="14">
        <f t="shared" si="3"/>
        <v>1.0961999999999998</v>
      </c>
      <c r="F213" s="14"/>
    </row>
    <row r="214" spans="1:6" ht="19.95" customHeight="1">
      <c r="A214" s="56" t="s">
        <v>93</v>
      </c>
      <c r="B214" s="14">
        <v>1</v>
      </c>
      <c r="C214" s="14">
        <v>0.36</v>
      </c>
      <c r="D214" s="14">
        <v>0.9</v>
      </c>
      <c r="E214" s="14">
        <f t="shared" si="3"/>
        <v>0.32400000000000001</v>
      </c>
      <c r="F214" s="14"/>
    </row>
    <row r="215" spans="1:6" ht="19.95" customHeight="1">
      <c r="A215" s="34" t="s">
        <v>88</v>
      </c>
      <c r="B215" s="14">
        <v>1</v>
      </c>
      <c r="C215" s="14">
        <v>0.24</v>
      </c>
      <c r="D215" s="14">
        <v>58.97</v>
      </c>
      <c r="E215" s="14">
        <f t="shared" si="3"/>
        <v>14.152799999999999</v>
      </c>
      <c r="F215" s="14"/>
    </row>
    <row r="216" spans="1:6" ht="19.95" customHeight="1">
      <c r="A216" s="56" t="s">
        <v>91</v>
      </c>
      <c r="B216" s="14">
        <v>21</v>
      </c>
      <c r="C216" s="15">
        <v>0.24</v>
      </c>
      <c r="D216" s="14">
        <v>0.55000000000000004</v>
      </c>
      <c r="E216" s="14">
        <f t="shared" si="3"/>
        <v>2.7720000000000002</v>
      </c>
      <c r="F216" s="14"/>
    </row>
    <row r="217" spans="1:6" ht="19.95" customHeight="1">
      <c r="A217" s="56" t="s">
        <v>92</v>
      </c>
      <c r="B217" s="14">
        <v>21</v>
      </c>
      <c r="C217" s="15">
        <v>0.36</v>
      </c>
      <c r="D217" s="14">
        <v>0.7</v>
      </c>
      <c r="E217" s="14">
        <f t="shared" ref="E217:E218" si="4">D217*C217*B217</f>
        <v>5.2919999999999998</v>
      </c>
      <c r="F217" s="14"/>
    </row>
    <row r="218" spans="1:6" ht="19.95" customHeight="1">
      <c r="A218" s="56" t="s">
        <v>93</v>
      </c>
      <c r="B218" s="14">
        <v>1</v>
      </c>
      <c r="C218" s="14">
        <v>0.24</v>
      </c>
      <c r="D218" s="14">
        <v>0.63</v>
      </c>
      <c r="E218" s="14">
        <f t="shared" si="4"/>
        <v>0.1512</v>
      </c>
      <c r="F218" s="14"/>
    </row>
    <row r="219" spans="1:6" ht="19.95" customHeight="1">
      <c r="A219" s="34"/>
      <c r="B219" s="14"/>
      <c r="C219" s="14"/>
      <c r="D219" s="14"/>
      <c r="E219" s="14"/>
      <c r="F219" s="14"/>
    </row>
    <row r="220" spans="1:6" ht="19.95" customHeight="1">
      <c r="A220" s="108" t="s">
        <v>95</v>
      </c>
      <c r="B220" s="14"/>
      <c r="C220" s="14"/>
      <c r="D220" s="14"/>
      <c r="E220" s="14"/>
      <c r="F220" s="14"/>
    </row>
    <row r="221" spans="1:6" ht="19.95" customHeight="1">
      <c r="A221" s="53" t="s">
        <v>32</v>
      </c>
      <c r="B221" s="28">
        <v>1</v>
      </c>
      <c r="C221" s="28">
        <v>0.36</v>
      </c>
      <c r="D221" s="28">
        <v>62.82</v>
      </c>
      <c r="E221" s="29">
        <f>D221*C221*B221</f>
        <v>22.615199999999998</v>
      </c>
      <c r="F221" s="14"/>
    </row>
    <row r="222" spans="1:6" ht="19.95" customHeight="1">
      <c r="A222" s="53" t="s">
        <v>83</v>
      </c>
      <c r="B222" s="28">
        <v>1</v>
      </c>
      <c r="C222" s="28">
        <v>0.24</v>
      </c>
      <c r="D222" s="28">
        <v>63.02</v>
      </c>
      <c r="E222" s="29">
        <f t="shared" ref="E222" si="5">D222*C222*B222</f>
        <v>15.1248</v>
      </c>
      <c r="F222" s="14"/>
    </row>
    <row r="223" spans="1:6" ht="19.95" customHeight="1">
      <c r="A223" s="56" t="s">
        <v>96</v>
      </c>
      <c r="B223" s="14">
        <v>21</v>
      </c>
      <c r="C223" s="14">
        <v>0.05</v>
      </c>
      <c r="D223" s="63">
        <v>0.51</v>
      </c>
      <c r="E223" s="14">
        <f>D223*C223*B223</f>
        <v>0.53550000000000009</v>
      </c>
      <c r="F223" s="14"/>
    </row>
    <row r="224" spans="1:6" ht="19.95" customHeight="1">
      <c r="A224" s="56" t="s">
        <v>97</v>
      </c>
      <c r="B224" s="14">
        <v>21</v>
      </c>
      <c r="C224" s="14">
        <v>0.05</v>
      </c>
      <c r="D224" s="14">
        <v>1.96</v>
      </c>
      <c r="E224" s="14">
        <f>D224*C224*B224</f>
        <v>2.0580000000000003</v>
      </c>
      <c r="F224" s="14"/>
    </row>
    <row r="225" spans="1:6" ht="19.95" customHeight="1">
      <c r="A225" s="56" t="s">
        <v>97</v>
      </c>
      <c r="B225" s="14">
        <v>21</v>
      </c>
      <c r="C225" s="14">
        <v>0.12</v>
      </c>
      <c r="D225" s="14">
        <v>1.49</v>
      </c>
      <c r="E225" s="14">
        <f>D225*C225*B225</f>
        <v>3.7547999999999999</v>
      </c>
      <c r="F225" s="14"/>
    </row>
    <row r="226" spans="1:6" ht="19.95" customHeight="1">
      <c r="A226" s="53" t="s">
        <v>34</v>
      </c>
      <c r="B226" s="28">
        <v>1</v>
      </c>
      <c r="C226" s="28">
        <v>0.36</v>
      </c>
      <c r="D226" s="28">
        <v>62.07</v>
      </c>
      <c r="E226" s="29">
        <f>D226*C226*B226</f>
        <v>22.345199999999998</v>
      </c>
      <c r="F226" s="14"/>
    </row>
    <row r="227" spans="1:6" ht="19.95" customHeight="1">
      <c r="A227" s="53" t="s">
        <v>35</v>
      </c>
      <c r="B227" s="28">
        <v>1</v>
      </c>
      <c r="C227" s="28">
        <v>0.16</v>
      </c>
      <c r="D227" s="28">
        <v>61.7</v>
      </c>
      <c r="E227" s="29">
        <f t="shared" ref="E227:E228" si="6">D227*C227*B227</f>
        <v>9.8719999999999999</v>
      </c>
      <c r="F227" s="14"/>
    </row>
    <row r="228" spans="1:6" ht="19.95" customHeight="1" thickBot="1">
      <c r="A228" s="53" t="s">
        <v>36</v>
      </c>
      <c r="B228" s="14">
        <v>1</v>
      </c>
      <c r="C228" s="14">
        <v>0.12</v>
      </c>
      <c r="D228" s="86">
        <v>61.84</v>
      </c>
      <c r="E228" s="86">
        <f t="shared" si="6"/>
        <v>7.4207999999999998</v>
      </c>
      <c r="F228" s="86"/>
    </row>
    <row r="229" spans="1:6" ht="19.95" customHeight="1" thickBot="1">
      <c r="A229" s="35"/>
      <c r="B229" s="14"/>
      <c r="C229" s="15"/>
      <c r="D229" s="96" t="s">
        <v>29</v>
      </c>
      <c r="E229" s="89">
        <f>SUM(E200:E228)</f>
        <v>227.14779999999996</v>
      </c>
      <c r="F229" s="97" t="s">
        <v>4</v>
      </c>
    </row>
    <row r="230" spans="1:6" ht="19.95" customHeight="1">
      <c r="A230" s="154" t="s">
        <v>5</v>
      </c>
      <c r="B230" s="154"/>
      <c r="C230" s="154"/>
      <c r="D230" s="155"/>
      <c r="E230" s="155"/>
      <c r="F230" s="155"/>
    </row>
    <row r="231" spans="1:6" ht="19.95" customHeight="1">
      <c r="A231" s="18"/>
      <c r="B231" s="19"/>
      <c r="C231" s="19"/>
      <c r="D231" s="19"/>
      <c r="E231" s="20"/>
      <c r="F231" s="21"/>
    </row>
    <row r="232" spans="1:6" ht="19.95" customHeight="1">
      <c r="A232" s="49" t="s">
        <v>15</v>
      </c>
      <c r="E232" s="7" t="s">
        <v>0</v>
      </c>
      <c r="F232" s="8">
        <v>6</v>
      </c>
    </row>
    <row r="233" spans="1:6" ht="19.95" customHeight="1">
      <c r="A233" s="49" t="s">
        <v>81</v>
      </c>
      <c r="F233" s="23"/>
    </row>
    <row r="234" spans="1:6" ht="19.95" customHeight="1">
      <c r="A234" s="24"/>
      <c r="B234" s="25"/>
      <c r="C234" s="25"/>
      <c r="D234" s="25"/>
      <c r="E234" s="25"/>
      <c r="F234" s="26"/>
    </row>
    <row r="235" spans="1:6" ht="19.95" customHeight="1">
      <c r="A235" s="13" t="s">
        <v>6</v>
      </c>
      <c r="B235" s="13" t="s">
        <v>7</v>
      </c>
      <c r="C235" s="13" t="s">
        <v>8</v>
      </c>
      <c r="D235" s="13" t="s">
        <v>9</v>
      </c>
      <c r="E235" s="13" t="s">
        <v>10</v>
      </c>
      <c r="F235" s="13" t="s">
        <v>11</v>
      </c>
    </row>
    <row r="236" spans="1:6" ht="19.5" customHeight="1">
      <c r="A236" s="108" t="s">
        <v>95</v>
      </c>
      <c r="B236" s="28"/>
      <c r="C236" s="28"/>
      <c r="D236" s="28"/>
      <c r="E236" s="29"/>
      <c r="F236" s="29"/>
    </row>
    <row r="237" spans="1:6" ht="19.5" customHeight="1">
      <c r="A237" s="111" t="s">
        <v>98</v>
      </c>
      <c r="B237" s="28">
        <v>1</v>
      </c>
      <c r="C237" s="28">
        <v>0.36</v>
      </c>
      <c r="D237" s="28">
        <v>3.0449999999999999</v>
      </c>
      <c r="E237" s="29">
        <f>D237*C237*B237</f>
        <v>1.0961999999999998</v>
      </c>
      <c r="F237" s="29"/>
    </row>
    <row r="238" spans="1:6" ht="19.5" customHeight="1">
      <c r="A238" s="111" t="s">
        <v>99</v>
      </c>
      <c r="B238" s="28">
        <v>1</v>
      </c>
      <c r="C238" s="28">
        <v>0.24</v>
      </c>
      <c r="D238" s="28">
        <v>58.97</v>
      </c>
      <c r="E238" s="29">
        <f t="shared" ref="E238:E244" si="7">D238*C238*B238</f>
        <v>14.152799999999999</v>
      </c>
      <c r="F238" s="29"/>
    </row>
    <row r="239" spans="1:6" ht="19.5" customHeight="1">
      <c r="A239" s="111" t="s">
        <v>101</v>
      </c>
      <c r="B239" s="28">
        <v>21</v>
      </c>
      <c r="C239" s="28">
        <v>0.11</v>
      </c>
      <c r="D239" s="28">
        <v>0.67</v>
      </c>
      <c r="E239" s="29">
        <f t="shared" si="7"/>
        <v>1.5477000000000001</v>
      </c>
      <c r="F239" s="29"/>
    </row>
    <row r="240" spans="1:6" ht="19.5" customHeight="1">
      <c r="A240" s="111" t="s">
        <v>100</v>
      </c>
      <c r="B240" s="28">
        <v>1</v>
      </c>
      <c r="C240" s="28">
        <v>0.11</v>
      </c>
      <c r="D240" s="28">
        <v>62.82</v>
      </c>
      <c r="E240" s="29">
        <f t="shared" si="7"/>
        <v>6.9101999999999997</v>
      </c>
      <c r="F240" s="29"/>
    </row>
    <row r="241" spans="1:6" ht="19.5" customHeight="1">
      <c r="A241" s="111" t="s">
        <v>102</v>
      </c>
      <c r="B241" s="28">
        <v>21</v>
      </c>
      <c r="C241" s="28">
        <v>0.12</v>
      </c>
      <c r="D241" s="28">
        <v>1.0900000000000001</v>
      </c>
      <c r="E241" s="29">
        <f t="shared" si="7"/>
        <v>2.7467999999999999</v>
      </c>
      <c r="F241" s="29"/>
    </row>
    <row r="242" spans="1:6" ht="19.5" customHeight="1">
      <c r="A242" s="111" t="s">
        <v>102</v>
      </c>
      <c r="B242" s="28">
        <v>21</v>
      </c>
      <c r="C242" s="28">
        <v>0.05</v>
      </c>
      <c r="D242" s="28">
        <v>1.175</v>
      </c>
      <c r="E242" s="29">
        <f t="shared" si="7"/>
        <v>1.2337500000000001</v>
      </c>
      <c r="F242" s="29"/>
    </row>
    <row r="243" spans="1:6" ht="19.5" customHeight="1">
      <c r="A243" s="111" t="s">
        <v>103</v>
      </c>
      <c r="B243" s="28">
        <v>1</v>
      </c>
      <c r="C243" s="28">
        <v>0.24</v>
      </c>
      <c r="D243" s="28">
        <v>0.63</v>
      </c>
      <c r="E243" s="29">
        <f t="shared" si="7"/>
        <v>0.1512</v>
      </c>
      <c r="F243" s="29"/>
    </row>
    <row r="244" spans="1:6" ht="19.5" customHeight="1">
      <c r="A244" s="111" t="s">
        <v>103</v>
      </c>
      <c r="B244" s="28">
        <v>1</v>
      </c>
      <c r="C244" s="28">
        <v>0.36</v>
      </c>
      <c r="D244" s="28">
        <v>1</v>
      </c>
      <c r="E244" s="29">
        <f t="shared" si="7"/>
        <v>0.36</v>
      </c>
      <c r="F244" s="29"/>
    </row>
    <row r="245" spans="1:6" ht="19.5" customHeight="1">
      <c r="A245" s="39"/>
      <c r="B245" s="28"/>
      <c r="C245" s="28"/>
      <c r="D245" s="28"/>
      <c r="E245" s="29"/>
      <c r="F245" s="29"/>
    </row>
    <row r="246" spans="1:6" ht="19.5" customHeight="1">
      <c r="A246" s="108" t="s">
        <v>67</v>
      </c>
      <c r="B246" s="28"/>
      <c r="C246" s="28"/>
      <c r="D246" s="28"/>
      <c r="E246" s="29"/>
      <c r="F246" s="29"/>
    </row>
    <row r="247" spans="1:6" ht="19.5" customHeight="1">
      <c r="A247" s="53" t="s">
        <v>32</v>
      </c>
      <c r="B247" s="28">
        <v>1</v>
      </c>
      <c r="C247" s="28">
        <v>0.36</v>
      </c>
      <c r="D247" s="28">
        <v>62.21</v>
      </c>
      <c r="E247" s="29">
        <f>D247*C247*B247</f>
        <v>22.395599999999998</v>
      </c>
      <c r="F247" s="29"/>
    </row>
    <row r="248" spans="1:6" ht="19.5" customHeight="1">
      <c r="A248" s="53" t="s">
        <v>83</v>
      </c>
      <c r="B248" s="28">
        <v>1</v>
      </c>
      <c r="C248" s="28">
        <v>0.24</v>
      </c>
      <c r="D248" s="28">
        <v>61.78</v>
      </c>
      <c r="E248" s="29">
        <f t="shared" ref="E248" si="8">D248*C248*B248</f>
        <v>14.827199999999999</v>
      </c>
      <c r="F248" s="29"/>
    </row>
    <row r="249" spans="1:6" ht="19.5" customHeight="1">
      <c r="A249" s="111" t="s">
        <v>104</v>
      </c>
      <c r="B249" s="28">
        <v>1</v>
      </c>
      <c r="C249" s="28">
        <v>0.38</v>
      </c>
      <c r="D249" s="28">
        <v>1.44</v>
      </c>
      <c r="E249" s="29">
        <f>D249*C249*B249</f>
        <v>0.54720000000000002</v>
      </c>
      <c r="F249" s="29"/>
    </row>
    <row r="250" spans="1:6" ht="19.5" customHeight="1">
      <c r="A250" s="111" t="s">
        <v>105</v>
      </c>
      <c r="B250" s="28">
        <v>21</v>
      </c>
      <c r="C250" s="28">
        <v>0.24</v>
      </c>
      <c r="D250" s="28">
        <v>0.86</v>
      </c>
      <c r="E250" s="29">
        <f>D250*C250*B250</f>
        <v>4.3343999999999996</v>
      </c>
      <c r="F250" s="29"/>
    </row>
    <row r="251" spans="1:6" ht="19.5" customHeight="1">
      <c r="A251" s="111" t="s">
        <v>106</v>
      </c>
      <c r="B251" s="28">
        <v>63</v>
      </c>
      <c r="C251" s="28">
        <v>0.05</v>
      </c>
      <c r="D251" s="28">
        <v>0.315</v>
      </c>
      <c r="E251" s="29">
        <f>D251*C251*B251</f>
        <v>0.99224999999999997</v>
      </c>
      <c r="F251" s="29"/>
    </row>
    <row r="252" spans="1:6" ht="19.5" customHeight="1">
      <c r="A252" s="111" t="s">
        <v>107</v>
      </c>
      <c r="B252" s="28">
        <v>21</v>
      </c>
      <c r="C252" s="28">
        <v>0.05</v>
      </c>
      <c r="D252" s="28">
        <v>0.39500000000000002</v>
      </c>
      <c r="E252" s="29">
        <f>D252*C252*B252</f>
        <v>0.41475000000000006</v>
      </c>
      <c r="F252" s="29"/>
    </row>
    <row r="253" spans="1:6" ht="19.5" customHeight="1" thickBot="1">
      <c r="A253" s="39"/>
      <c r="B253" s="28"/>
      <c r="C253" s="28"/>
      <c r="D253" s="28"/>
      <c r="E253" s="29"/>
      <c r="F253" s="29"/>
    </row>
    <row r="254" spans="1:6" ht="19.5" customHeight="1" thickBot="1">
      <c r="A254" s="83" t="s">
        <v>31</v>
      </c>
      <c r="B254" s="32"/>
      <c r="C254" s="32"/>
      <c r="D254" s="32"/>
      <c r="E254" s="32"/>
      <c r="F254" s="32"/>
    </row>
    <row r="255" spans="1:6" ht="19.5" customHeight="1">
      <c r="A255" s="102" t="s">
        <v>60</v>
      </c>
      <c r="B255" s="101"/>
      <c r="C255" s="88"/>
      <c r="D255" s="88"/>
      <c r="E255" s="88"/>
      <c r="F255" s="100"/>
    </row>
    <row r="256" spans="1:6" ht="19.5" customHeight="1">
      <c r="A256" s="98" t="s">
        <v>61</v>
      </c>
      <c r="B256" s="28"/>
      <c r="C256" s="28"/>
      <c r="D256" s="28"/>
      <c r="E256" s="28"/>
      <c r="F256" s="29"/>
    </row>
    <row r="257" spans="1:6" ht="19.5" customHeight="1">
      <c r="A257" s="42" t="s">
        <v>62</v>
      </c>
      <c r="B257" s="28">
        <v>2</v>
      </c>
      <c r="C257" s="28">
        <v>0.24</v>
      </c>
      <c r="D257" s="28">
        <v>27.13</v>
      </c>
      <c r="E257" s="28">
        <f>D257*C257*B257</f>
        <v>13.022399999999999</v>
      </c>
      <c r="F257" s="29"/>
    </row>
    <row r="258" spans="1:6" ht="19.5" customHeight="1">
      <c r="A258" s="42" t="s">
        <v>63</v>
      </c>
      <c r="B258" s="28">
        <v>2</v>
      </c>
      <c r="C258" s="28">
        <v>0.24</v>
      </c>
      <c r="D258" s="28">
        <v>44.36</v>
      </c>
      <c r="E258" s="28">
        <f t="shared" ref="E258:E261" si="9">D258*C258*B258</f>
        <v>21.2928</v>
      </c>
      <c r="F258" s="29"/>
    </row>
    <row r="259" spans="1:6" ht="19.5" customHeight="1">
      <c r="A259" s="42" t="s">
        <v>64</v>
      </c>
      <c r="B259" s="28">
        <v>2</v>
      </c>
      <c r="C259" s="28">
        <v>0.16</v>
      </c>
      <c r="D259" s="28">
        <v>44.81</v>
      </c>
      <c r="E259" s="28">
        <f t="shared" si="9"/>
        <v>14.339200000000002</v>
      </c>
      <c r="F259" s="29"/>
    </row>
    <row r="260" spans="1:6" ht="19.5" customHeight="1">
      <c r="A260" s="42" t="s">
        <v>65</v>
      </c>
      <c r="B260" s="28">
        <v>2</v>
      </c>
      <c r="C260" s="28">
        <v>0.16</v>
      </c>
      <c r="D260" s="28">
        <v>27.43</v>
      </c>
      <c r="E260" s="28">
        <f t="shared" si="9"/>
        <v>8.7775999999999996</v>
      </c>
      <c r="F260" s="29"/>
    </row>
    <row r="261" spans="1:6" ht="19.5" customHeight="1">
      <c r="A261" s="42" t="s">
        <v>66</v>
      </c>
      <c r="B261" s="28">
        <v>2</v>
      </c>
      <c r="C261" s="28">
        <v>0.16</v>
      </c>
      <c r="D261" s="28">
        <v>9.9700000000000006</v>
      </c>
      <c r="E261" s="28">
        <f t="shared" si="9"/>
        <v>3.1904000000000003</v>
      </c>
      <c r="F261" s="29"/>
    </row>
    <row r="262" spans="1:6" ht="19.5" customHeight="1">
      <c r="A262" s="48" t="s">
        <v>67</v>
      </c>
      <c r="B262" s="28"/>
      <c r="C262" s="28"/>
      <c r="D262" s="28"/>
      <c r="E262" s="28"/>
      <c r="F262" s="29"/>
    </row>
    <row r="263" spans="1:6" ht="19.5" customHeight="1">
      <c r="A263" s="42" t="s">
        <v>68</v>
      </c>
      <c r="B263" s="28">
        <v>2</v>
      </c>
      <c r="C263" s="28">
        <v>0.19</v>
      </c>
      <c r="D263" s="28">
        <v>9.5</v>
      </c>
      <c r="E263" s="28">
        <f>D263*C263*B263</f>
        <v>3.61</v>
      </c>
      <c r="F263" s="29"/>
    </row>
    <row r="264" spans="1:6" ht="19.5" customHeight="1">
      <c r="A264" s="48" t="s">
        <v>69</v>
      </c>
      <c r="B264" s="28">
        <v>2</v>
      </c>
      <c r="C264" s="28">
        <v>0.28000000000000003</v>
      </c>
      <c r="D264" s="85">
        <v>3.2</v>
      </c>
      <c r="E264" s="85">
        <f>D264*C264*B264</f>
        <v>1.7920000000000003</v>
      </c>
      <c r="F264" s="99"/>
    </row>
    <row r="265" spans="1:6" ht="19.5" customHeight="1" thickBot="1">
      <c r="A265" s="42"/>
      <c r="B265" s="28"/>
      <c r="C265" s="84"/>
      <c r="D265" s="113"/>
      <c r="E265" s="113"/>
      <c r="F265" s="114"/>
    </row>
    <row r="266" spans="1:6" ht="19.5" customHeight="1" thickBot="1">
      <c r="A266" s="39"/>
      <c r="B266" s="28"/>
      <c r="C266" s="84"/>
      <c r="D266" s="78" t="s">
        <v>29</v>
      </c>
      <c r="E266" s="104">
        <f>SUM(E237:E265)</f>
        <v>137.73445000000004</v>
      </c>
      <c r="F266" s="80" t="s">
        <v>4</v>
      </c>
    </row>
    <row r="267" spans="1:6" ht="19.5" customHeight="1">
      <c r="A267" s="33"/>
      <c r="B267" s="29"/>
      <c r="C267" s="28"/>
      <c r="D267" s="88"/>
      <c r="E267" s="100"/>
      <c r="F267" s="100"/>
    </row>
    <row r="268" spans="1:6" ht="19.95" customHeight="1">
      <c r="A268" s="154" t="s">
        <v>5</v>
      </c>
      <c r="B268" s="154"/>
      <c r="C268" s="154"/>
      <c r="D268" s="154"/>
      <c r="E268" s="154"/>
      <c r="F268" s="154"/>
    </row>
    <row r="269" spans="1:6" ht="19.95" customHeight="1">
      <c r="A269" s="18"/>
      <c r="B269" s="19"/>
      <c r="C269" s="19"/>
      <c r="D269" s="19"/>
      <c r="E269" s="20"/>
      <c r="F269" s="21"/>
    </row>
    <row r="270" spans="1:6" ht="19.95" customHeight="1">
      <c r="A270" s="49" t="s">
        <v>15</v>
      </c>
      <c r="E270" s="7" t="s">
        <v>0</v>
      </c>
      <c r="F270" s="8">
        <v>7</v>
      </c>
    </row>
    <row r="271" spans="1:6" ht="19.95" customHeight="1">
      <c r="A271" s="49" t="s">
        <v>121</v>
      </c>
      <c r="F271" s="23"/>
    </row>
    <row r="272" spans="1:6" ht="19.95" customHeight="1">
      <c r="A272" s="24"/>
      <c r="B272" s="25"/>
      <c r="C272" s="25"/>
      <c r="D272" s="25"/>
      <c r="E272" s="25"/>
      <c r="F272" s="26"/>
    </row>
    <row r="273" spans="1:6" ht="19.95" customHeight="1" thickBot="1">
      <c r="A273" s="69" t="s">
        <v>6</v>
      </c>
      <c r="B273" s="13" t="s">
        <v>7</v>
      </c>
      <c r="C273" s="13" t="s">
        <v>8</v>
      </c>
      <c r="D273" s="13" t="s">
        <v>9</v>
      </c>
      <c r="E273" s="13" t="s">
        <v>10</v>
      </c>
      <c r="F273" s="13" t="s">
        <v>11</v>
      </c>
    </row>
    <row r="274" spans="1:6" ht="19.95" customHeight="1" thickBot="1">
      <c r="A274" s="83" t="s">
        <v>122</v>
      </c>
      <c r="B274" s="120"/>
      <c r="C274" s="40"/>
      <c r="D274" s="40"/>
      <c r="E274" s="29"/>
      <c r="F274" s="29"/>
    </row>
    <row r="275" spans="1:6" ht="19.95" customHeight="1">
      <c r="A275" s="82" t="s">
        <v>123</v>
      </c>
      <c r="B275" s="43">
        <v>42</v>
      </c>
      <c r="C275" s="43">
        <v>0.505</v>
      </c>
      <c r="D275" s="43">
        <v>2.5049999999999999</v>
      </c>
      <c r="E275" s="29">
        <f>D275*C275*B275</f>
        <v>53.131050000000002</v>
      </c>
      <c r="F275" s="29"/>
    </row>
    <row r="276" spans="1:6" ht="19.95" customHeight="1">
      <c r="A276" s="82" t="s">
        <v>123</v>
      </c>
      <c r="B276" s="28">
        <v>84</v>
      </c>
      <c r="C276" s="28">
        <v>0.45</v>
      </c>
      <c r="D276" s="28">
        <v>2.57</v>
      </c>
      <c r="E276" s="29">
        <f t="shared" ref="E276:E278" si="10">D276*C276*B276</f>
        <v>97.145999999999987</v>
      </c>
      <c r="F276" s="29"/>
    </row>
    <row r="277" spans="1:6" ht="19.95" customHeight="1">
      <c r="A277" s="53" t="s">
        <v>124</v>
      </c>
      <c r="B277" s="28">
        <v>42</v>
      </c>
      <c r="C277" s="28">
        <v>1.2</v>
      </c>
      <c r="D277" s="28">
        <v>0.48</v>
      </c>
      <c r="E277" s="29">
        <f t="shared" si="10"/>
        <v>24.191999999999997</v>
      </c>
      <c r="F277" s="29"/>
    </row>
    <row r="278" spans="1:6" ht="19.95" customHeight="1">
      <c r="A278" s="53" t="s">
        <v>125</v>
      </c>
      <c r="B278" s="28">
        <v>84</v>
      </c>
      <c r="C278" s="28">
        <v>1.2</v>
      </c>
      <c r="D278" s="28">
        <v>0.47499999999999998</v>
      </c>
      <c r="E278" s="29">
        <f t="shared" si="10"/>
        <v>47.879999999999995</v>
      </c>
      <c r="F278" s="29"/>
    </row>
    <row r="279" spans="1:6" ht="19.95" customHeight="1">
      <c r="A279" s="53" t="s">
        <v>126</v>
      </c>
      <c r="B279" s="28">
        <v>84</v>
      </c>
      <c r="C279" s="28">
        <v>0.23</v>
      </c>
      <c r="D279" s="28">
        <v>0.12</v>
      </c>
      <c r="E279" s="29"/>
      <c r="F279" s="29">
        <f>D279*C279*B279</f>
        <v>2.3184</v>
      </c>
    </row>
    <row r="280" spans="1:6" ht="19.95" customHeight="1">
      <c r="A280" s="53" t="s">
        <v>127</v>
      </c>
      <c r="B280" s="28">
        <v>84</v>
      </c>
      <c r="C280" s="28">
        <v>2.8</v>
      </c>
      <c r="D280" s="28">
        <v>0.41</v>
      </c>
      <c r="E280" s="29">
        <f>D280*C280*B280</f>
        <v>96.431999999999988</v>
      </c>
      <c r="F280" s="29"/>
    </row>
    <row r="281" spans="1:6" ht="19.95" customHeight="1">
      <c r="A281" s="53" t="s">
        <v>126</v>
      </c>
      <c r="B281" s="28">
        <v>84</v>
      </c>
      <c r="C281" s="28">
        <v>0.2</v>
      </c>
      <c r="D281" s="28">
        <v>0.41</v>
      </c>
      <c r="F281" s="29">
        <f>D281*C281*B281</f>
        <v>6.8879999999999999</v>
      </c>
    </row>
    <row r="282" spans="1:6" ht="19.95" customHeight="1">
      <c r="A282" s="53" t="s">
        <v>126</v>
      </c>
      <c r="B282" s="28">
        <v>84</v>
      </c>
      <c r="C282" s="28">
        <v>0.12</v>
      </c>
      <c r="D282" s="28">
        <v>1.31</v>
      </c>
      <c r="E282" s="29"/>
      <c r="F282" s="29">
        <f>D282*C282*B282</f>
        <v>13.204800000000001</v>
      </c>
    </row>
    <row r="283" spans="1:6" ht="19.95" customHeight="1">
      <c r="A283" s="53" t="s">
        <v>128</v>
      </c>
      <c r="B283" s="28">
        <v>42</v>
      </c>
      <c r="C283" s="28">
        <v>1.655</v>
      </c>
      <c r="D283" s="28">
        <v>0.41</v>
      </c>
      <c r="E283" s="14">
        <f>D283*C283*B283</f>
        <v>28.499099999999999</v>
      </c>
      <c r="F283" s="29"/>
    </row>
    <row r="284" spans="1:6" ht="19.95" customHeight="1" thickBot="1">
      <c r="A284" s="53" t="s">
        <v>126</v>
      </c>
      <c r="B284" s="28">
        <v>1</v>
      </c>
      <c r="C284" s="28">
        <v>0.12</v>
      </c>
      <c r="D284" s="85">
        <v>1.655</v>
      </c>
      <c r="E284" s="99"/>
      <c r="F284" s="99">
        <f>D284*C284*B284</f>
        <v>0.1986</v>
      </c>
    </row>
    <row r="285" spans="1:6" ht="19.95" customHeight="1" thickBot="1">
      <c r="A285" s="31"/>
      <c r="B285" s="28"/>
      <c r="C285" s="84"/>
      <c r="D285" s="73" t="s">
        <v>29</v>
      </c>
      <c r="E285" s="121">
        <f>SUM(E275:E284)</f>
        <v>347.28014999999994</v>
      </c>
      <c r="F285" s="122">
        <f>SUM(F275:F284)</f>
        <v>22.6098</v>
      </c>
    </row>
    <row r="286" spans="1:6" ht="19.95" customHeight="1" thickBot="1">
      <c r="A286" s="31"/>
      <c r="B286" s="28"/>
      <c r="C286" s="28"/>
      <c r="D286" s="105"/>
      <c r="E286" s="106"/>
      <c r="F286" s="106"/>
    </row>
    <row r="287" spans="1:6" ht="19.95" customHeight="1" thickBot="1">
      <c r="A287" s="31"/>
      <c r="B287" s="28"/>
      <c r="C287" s="84"/>
      <c r="D287" s="78" t="s">
        <v>29</v>
      </c>
      <c r="E287" s="104">
        <f>E285-F285</f>
        <v>324.67034999999993</v>
      </c>
      <c r="F287" s="80" t="s">
        <v>4</v>
      </c>
    </row>
    <row r="288" spans="1:6" ht="19.95" customHeight="1" thickBot="1">
      <c r="A288" s="31"/>
      <c r="B288" s="28"/>
      <c r="C288" s="28"/>
      <c r="D288" s="88"/>
      <c r="E288" s="100"/>
      <c r="F288" s="100"/>
    </row>
    <row r="289" spans="1:6" ht="19.95" customHeight="1" thickBot="1">
      <c r="A289" s="83" t="s">
        <v>129</v>
      </c>
      <c r="B289" s="28"/>
      <c r="C289" s="28"/>
      <c r="D289" s="28"/>
      <c r="E289" s="29"/>
      <c r="F289" s="29"/>
    </row>
    <row r="290" spans="1:6" ht="19.95" customHeight="1">
      <c r="A290" s="123" t="s">
        <v>123</v>
      </c>
      <c r="B290" s="124">
        <v>42</v>
      </c>
      <c r="C290" s="124">
        <v>0.505</v>
      </c>
      <c r="D290" s="124">
        <v>2.5049999999999999</v>
      </c>
      <c r="E290" s="125">
        <f>D290*C290*B290</f>
        <v>53.131050000000002</v>
      </c>
      <c r="F290" s="125"/>
    </row>
    <row r="291" spans="1:6" ht="19.95" customHeight="1">
      <c r="A291" s="123" t="s">
        <v>123</v>
      </c>
      <c r="B291" s="126">
        <v>84</v>
      </c>
      <c r="C291" s="126">
        <v>0.45</v>
      </c>
      <c r="D291" s="126">
        <v>2.57</v>
      </c>
      <c r="E291" s="125">
        <f t="shared" ref="E291:E293" si="11">D291*C291*B291</f>
        <v>97.145999999999987</v>
      </c>
      <c r="F291" s="125"/>
    </row>
    <row r="292" spans="1:6" ht="19.95" customHeight="1">
      <c r="A292" s="127" t="s">
        <v>124</v>
      </c>
      <c r="B292" s="126">
        <v>42</v>
      </c>
      <c r="C292" s="126">
        <v>1.2</v>
      </c>
      <c r="D292" s="126">
        <v>0.48</v>
      </c>
      <c r="E292" s="125">
        <f t="shared" si="11"/>
        <v>24.191999999999997</v>
      </c>
      <c r="F292" s="125"/>
    </row>
    <row r="293" spans="1:6" ht="19.95" customHeight="1">
      <c r="A293" s="127" t="s">
        <v>125</v>
      </c>
      <c r="B293" s="126">
        <v>84</v>
      </c>
      <c r="C293" s="126">
        <v>1.2</v>
      </c>
      <c r="D293" s="126">
        <v>0.47499999999999998</v>
      </c>
      <c r="E293" s="125">
        <f t="shared" si="11"/>
        <v>47.879999999999995</v>
      </c>
      <c r="F293" s="125"/>
    </row>
    <row r="294" spans="1:6" ht="19.95" customHeight="1">
      <c r="A294" s="127" t="s">
        <v>126</v>
      </c>
      <c r="B294" s="126">
        <v>84</v>
      </c>
      <c r="C294" s="126">
        <v>0.23</v>
      </c>
      <c r="D294" s="126">
        <v>0.12</v>
      </c>
      <c r="E294" s="125"/>
      <c r="F294" s="125">
        <f>D294*C294*B294</f>
        <v>2.3184</v>
      </c>
    </row>
    <row r="295" spans="1:6" ht="19.95" customHeight="1">
      <c r="A295" s="127" t="s">
        <v>127</v>
      </c>
      <c r="B295" s="126">
        <v>84</v>
      </c>
      <c r="C295" s="126">
        <v>2.8</v>
      </c>
      <c r="D295" s="126">
        <v>0.41</v>
      </c>
      <c r="E295" s="125">
        <f>D295*C295*B295</f>
        <v>96.431999999999988</v>
      </c>
      <c r="F295" s="125"/>
    </row>
    <row r="296" spans="1:6" ht="19.95" customHeight="1">
      <c r="A296" s="127" t="s">
        <v>126</v>
      </c>
      <c r="B296" s="126">
        <v>84</v>
      </c>
      <c r="C296" s="126">
        <v>0.2</v>
      </c>
      <c r="D296" s="126">
        <v>0.41</v>
      </c>
      <c r="E296" s="128"/>
      <c r="F296" s="125">
        <f>D296*C296*B296</f>
        <v>6.8879999999999999</v>
      </c>
    </row>
    <row r="297" spans="1:6" ht="19.95" customHeight="1">
      <c r="A297" s="127" t="s">
        <v>126</v>
      </c>
      <c r="B297" s="126">
        <v>84</v>
      </c>
      <c r="C297" s="126">
        <v>0.12</v>
      </c>
      <c r="D297" s="126">
        <v>1.31</v>
      </c>
      <c r="E297" s="125"/>
      <c r="F297" s="125">
        <f>D297*C297*B297</f>
        <v>13.204800000000001</v>
      </c>
    </row>
    <row r="298" spans="1:6" ht="19.95" customHeight="1">
      <c r="A298" s="127" t="s">
        <v>128</v>
      </c>
      <c r="B298" s="126">
        <v>42</v>
      </c>
      <c r="C298" s="126">
        <v>1.655</v>
      </c>
      <c r="D298" s="126">
        <v>0.41</v>
      </c>
      <c r="E298" s="129">
        <f>D298*C298*B298</f>
        <v>28.499099999999999</v>
      </c>
      <c r="F298" s="125"/>
    </row>
    <row r="299" spans="1:6" ht="19.95" customHeight="1" thickBot="1">
      <c r="A299" s="127" t="s">
        <v>126</v>
      </c>
      <c r="B299" s="126">
        <v>1</v>
      </c>
      <c r="C299" s="126">
        <v>0.12</v>
      </c>
      <c r="D299" s="130">
        <v>1.655</v>
      </c>
      <c r="E299" s="131"/>
      <c r="F299" s="131">
        <f>D299*C299*B299</f>
        <v>0.1986</v>
      </c>
    </row>
    <row r="300" spans="1:6" ht="19.95" customHeight="1" thickBot="1">
      <c r="A300" s="31"/>
      <c r="B300" s="28"/>
      <c r="C300" s="84"/>
      <c r="D300" s="73" t="s">
        <v>29</v>
      </c>
      <c r="E300" s="121">
        <f>SUM(E290:E299)</f>
        <v>347.28014999999994</v>
      </c>
      <c r="F300" s="122">
        <f>SUM(F290:F299)</f>
        <v>22.6098</v>
      </c>
    </row>
    <row r="301" spans="1:6" ht="19.95" customHeight="1" thickBot="1">
      <c r="A301" s="31"/>
      <c r="B301" s="28"/>
      <c r="C301" s="28"/>
      <c r="D301" s="105"/>
      <c r="E301" s="106"/>
      <c r="F301" s="106"/>
    </row>
    <row r="302" spans="1:6" ht="19.95" customHeight="1" thickBot="1">
      <c r="A302" s="31"/>
      <c r="B302" s="28"/>
      <c r="C302" s="84"/>
      <c r="D302" s="78" t="s">
        <v>29</v>
      </c>
      <c r="E302" s="104">
        <f>E300-F300</f>
        <v>324.67034999999993</v>
      </c>
      <c r="F302" s="80" t="s">
        <v>4</v>
      </c>
    </row>
    <row r="303" spans="1:6" ht="19.95" customHeight="1">
      <c r="A303" s="33"/>
      <c r="B303" s="29"/>
      <c r="C303" s="28"/>
      <c r="D303" s="28"/>
      <c r="E303" s="29"/>
      <c r="F303" s="29"/>
    </row>
    <row r="304" spans="1:6" ht="19.95" customHeight="1">
      <c r="A304" s="33"/>
      <c r="B304" s="29"/>
      <c r="C304" s="29"/>
      <c r="D304" s="29"/>
      <c r="E304" s="29"/>
      <c r="F304" s="29"/>
    </row>
    <row r="305" spans="1:6" ht="19.95" customHeight="1">
      <c r="A305" s="38"/>
      <c r="B305" s="29"/>
      <c r="C305" s="29"/>
      <c r="D305" s="29"/>
      <c r="E305" s="29"/>
      <c r="F305" s="29"/>
    </row>
    <row r="306" spans="1:6" ht="19.95" customHeight="1">
      <c r="A306" s="154" t="s">
        <v>5</v>
      </c>
      <c r="B306" s="154"/>
      <c r="C306" s="154"/>
      <c r="D306" s="154"/>
      <c r="E306" s="154"/>
      <c r="F306" s="154"/>
    </row>
    <row r="307" spans="1:6" ht="19.95" customHeight="1">
      <c r="A307" s="18"/>
      <c r="B307" s="19"/>
      <c r="C307" s="19"/>
      <c r="D307" s="19"/>
      <c r="E307" s="20"/>
      <c r="F307" s="21"/>
    </row>
    <row r="308" spans="1:6" ht="19.95" customHeight="1">
      <c r="A308" s="49" t="s">
        <v>15</v>
      </c>
      <c r="E308" s="7" t="s">
        <v>0</v>
      </c>
      <c r="F308" s="8">
        <v>8</v>
      </c>
    </row>
    <row r="309" spans="1:6" ht="19.95" customHeight="1">
      <c r="A309" s="49" t="s">
        <v>108</v>
      </c>
      <c r="F309" s="23"/>
    </row>
    <row r="310" spans="1:6" ht="19.95" customHeight="1">
      <c r="A310" s="24"/>
      <c r="B310" s="25"/>
      <c r="C310" s="25"/>
      <c r="D310" s="25"/>
      <c r="E310" s="25"/>
      <c r="F310" s="26"/>
    </row>
    <row r="311" spans="1:6" ht="19.95" customHeight="1" thickBot="1">
      <c r="A311" s="69" t="s">
        <v>6</v>
      </c>
      <c r="B311" s="13" t="s">
        <v>7</v>
      </c>
      <c r="C311" s="13" t="s">
        <v>8</v>
      </c>
      <c r="D311" s="13" t="s">
        <v>9</v>
      </c>
      <c r="E311" s="13" t="s">
        <v>10</v>
      </c>
      <c r="F311" s="13" t="s">
        <v>11</v>
      </c>
    </row>
    <row r="312" spans="1:6" ht="19.95" customHeight="1" thickBot="1">
      <c r="A312" s="70" t="s">
        <v>114</v>
      </c>
      <c r="B312" s="81"/>
      <c r="C312" s="28"/>
      <c r="D312" s="28"/>
      <c r="E312" s="29"/>
      <c r="F312" s="29"/>
    </row>
    <row r="313" spans="1:6" ht="19.95" customHeight="1">
      <c r="A313" s="115" t="s">
        <v>113</v>
      </c>
      <c r="B313" s="28">
        <v>21</v>
      </c>
      <c r="C313" s="28">
        <v>8.1</v>
      </c>
      <c r="D313" s="28"/>
      <c r="E313" s="29">
        <f>C313*B313</f>
        <v>170.1</v>
      </c>
      <c r="F313" s="29"/>
    </row>
    <row r="314" spans="1:6" ht="19.95" customHeight="1">
      <c r="A314" s="42" t="s">
        <v>109</v>
      </c>
      <c r="B314" s="28">
        <v>84</v>
      </c>
      <c r="C314" s="28">
        <v>0.76</v>
      </c>
      <c r="D314" s="28"/>
      <c r="E314" s="29">
        <f>C314*B314</f>
        <v>63.84</v>
      </c>
      <c r="F314" s="29"/>
    </row>
    <row r="315" spans="1:6" ht="19.95" customHeight="1">
      <c r="A315" s="42" t="s">
        <v>117</v>
      </c>
      <c r="B315" s="28">
        <v>4</v>
      </c>
      <c r="C315" s="28">
        <v>1.675</v>
      </c>
      <c r="D315" s="28"/>
      <c r="E315" s="14">
        <f>C315*B315</f>
        <v>6.7</v>
      </c>
      <c r="F315" s="29"/>
    </row>
    <row r="316" spans="1:6" ht="19.95" customHeight="1">
      <c r="A316" s="42" t="s">
        <v>118</v>
      </c>
      <c r="B316" s="28">
        <v>2</v>
      </c>
      <c r="C316" s="28">
        <v>2.41</v>
      </c>
      <c r="D316" s="85"/>
      <c r="E316" s="99">
        <f>C316*B316</f>
        <v>4.82</v>
      </c>
      <c r="F316" s="99"/>
    </row>
    <row r="317" spans="1:6" ht="19.95" customHeight="1" thickBot="1">
      <c r="A317" s="42" t="s">
        <v>116</v>
      </c>
      <c r="B317" s="85">
        <v>2</v>
      </c>
      <c r="C317" s="117">
        <v>2.41</v>
      </c>
      <c r="D317" s="113"/>
      <c r="E317" s="118">
        <f>C317*B317</f>
        <v>4.82</v>
      </c>
      <c r="F317" s="114"/>
    </row>
    <row r="318" spans="1:6" ht="19.95" customHeight="1" thickBot="1">
      <c r="A318" s="32"/>
      <c r="B318" s="32"/>
      <c r="C318" s="112"/>
      <c r="D318" s="96" t="s">
        <v>29</v>
      </c>
      <c r="E318" s="89">
        <f>SUM(E313:E317)</f>
        <v>250.27999999999997</v>
      </c>
      <c r="F318" s="80" t="s">
        <v>4</v>
      </c>
    </row>
    <row r="319" spans="1:6" ht="19.95" customHeight="1" thickBot="1">
      <c r="A319" s="119"/>
      <c r="B319" s="32"/>
      <c r="C319" s="32"/>
      <c r="D319" s="116"/>
      <c r="E319" s="116"/>
      <c r="F319" s="100"/>
    </row>
    <row r="320" spans="1:6" ht="19.95" customHeight="1" thickBot="1">
      <c r="A320" s="70" t="s">
        <v>115</v>
      </c>
      <c r="B320" s="88"/>
      <c r="C320" s="88"/>
      <c r="D320" s="88"/>
      <c r="E320" s="87"/>
      <c r="F320" s="29"/>
    </row>
    <row r="321" spans="1:6" ht="19.95" customHeight="1">
      <c r="A321" s="115" t="s">
        <v>113</v>
      </c>
      <c r="B321" s="28">
        <v>21</v>
      </c>
      <c r="C321" s="28">
        <v>7.4050000000000002</v>
      </c>
      <c r="D321" s="28"/>
      <c r="E321" s="14">
        <f>C321*B321</f>
        <v>155.505</v>
      </c>
      <c r="F321" s="29"/>
    </row>
    <row r="322" spans="1:6" ht="19.95" customHeight="1">
      <c r="A322" s="42" t="s">
        <v>109</v>
      </c>
      <c r="B322" s="28">
        <v>84</v>
      </c>
      <c r="C322" s="28">
        <v>0.75</v>
      </c>
      <c r="D322" s="28"/>
      <c r="E322" s="14">
        <f>C322*B322</f>
        <v>63</v>
      </c>
      <c r="F322" s="29"/>
    </row>
    <row r="323" spans="1:6" ht="19.95" customHeight="1">
      <c r="A323" s="42" t="s">
        <v>110</v>
      </c>
      <c r="B323" s="28">
        <v>4</v>
      </c>
      <c r="C323" s="28">
        <v>1.56</v>
      </c>
      <c r="D323" s="28"/>
      <c r="E323" s="14">
        <f>C323*B323</f>
        <v>6.24</v>
      </c>
      <c r="F323" s="29"/>
    </row>
    <row r="324" spans="1:6" ht="19.95" customHeight="1">
      <c r="A324" s="42" t="s">
        <v>111</v>
      </c>
      <c r="B324" s="28">
        <v>2</v>
      </c>
      <c r="C324" s="28">
        <v>2.82</v>
      </c>
      <c r="D324" s="85"/>
      <c r="E324" s="99">
        <f>C324*B324</f>
        <v>5.64</v>
      </c>
      <c r="F324" s="29"/>
    </row>
    <row r="325" spans="1:6" ht="19.95" customHeight="1" thickBot="1">
      <c r="A325" s="42" t="s">
        <v>116</v>
      </c>
      <c r="B325" s="85">
        <v>2</v>
      </c>
      <c r="C325" s="117">
        <v>2.72</v>
      </c>
      <c r="D325" s="113"/>
      <c r="E325" s="118">
        <f>C325*B325</f>
        <v>5.44</v>
      </c>
      <c r="F325" s="99"/>
    </row>
    <row r="326" spans="1:6" ht="19.95" customHeight="1" thickBot="1">
      <c r="A326" s="30"/>
      <c r="B326" s="28"/>
      <c r="C326" s="84"/>
      <c r="D326" s="78" t="s">
        <v>29</v>
      </c>
      <c r="E326" s="104">
        <f>SUM(E321:E325)</f>
        <v>235.82499999999999</v>
      </c>
      <c r="F326" s="80" t="s">
        <v>112</v>
      </c>
    </row>
    <row r="327" spans="1:6" ht="19.95" customHeight="1" thickBot="1">
      <c r="A327" s="30"/>
      <c r="B327" s="28"/>
      <c r="C327" s="28"/>
      <c r="D327" s="88"/>
      <c r="E327" s="100"/>
      <c r="F327" s="100"/>
    </row>
    <row r="328" spans="1:6" ht="19.95" customHeight="1" thickBot="1">
      <c r="A328" s="70" t="s">
        <v>119</v>
      </c>
      <c r="B328" s="28">
        <v>1</v>
      </c>
      <c r="C328" s="28">
        <v>1.675</v>
      </c>
      <c r="D328" s="28">
        <v>2.5099999999999998</v>
      </c>
      <c r="E328" s="29">
        <f>D328*C328*B328</f>
        <v>4.20425</v>
      </c>
      <c r="F328" s="29"/>
    </row>
    <row r="329" spans="1:6" ht="19.95" customHeight="1" thickBot="1">
      <c r="A329" s="70" t="s">
        <v>120</v>
      </c>
      <c r="B329" s="28">
        <v>1</v>
      </c>
      <c r="C329" s="28">
        <v>1.66</v>
      </c>
      <c r="D329" s="85">
        <v>2.82</v>
      </c>
      <c r="E329" s="99">
        <f>D329*C329*B329</f>
        <v>4.6811999999999996</v>
      </c>
      <c r="F329" s="99"/>
    </row>
    <row r="330" spans="1:6" ht="19.95" customHeight="1" thickBot="1">
      <c r="A330" s="30"/>
      <c r="B330" s="28"/>
      <c r="C330" s="84"/>
      <c r="D330" s="78" t="s">
        <v>29</v>
      </c>
      <c r="E330" s="104">
        <f>SUM(E328:E329)</f>
        <v>8.8854499999999987</v>
      </c>
      <c r="F330" s="80" t="s">
        <v>4</v>
      </c>
    </row>
    <row r="331" spans="1:6" ht="19.95" customHeight="1">
      <c r="A331" s="37"/>
      <c r="B331" s="28"/>
      <c r="C331" s="28"/>
      <c r="D331" s="88"/>
      <c r="E331" s="100"/>
      <c r="F331" s="100"/>
    </row>
    <row r="332" spans="1:6" ht="19.95" customHeight="1">
      <c r="A332" s="30"/>
      <c r="B332" s="28"/>
      <c r="C332" s="28"/>
      <c r="D332" s="28"/>
      <c r="E332" s="29"/>
      <c r="F332" s="29"/>
    </row>
    <row r="333" spans="1:6" ht="19.95" customHeight="1">
      <c r="A333" s="30"/>
      <c r="B333" s="28"/>
      <c r="C333" s="28"/>
      <c r="D333" s="28"/>
      <c r="E333" s="29"/>
      <c r="F333" s="29"/>
    </row>
    <row r="334" spans="1:6" ht="19.95" customHeight="1">
      <c r="A334" s="27"/>
      <c r="B334" s="28"/>
      <c r="C334" s="28"/>
      <c r="D334" s="28"/>
      <c r="E334" s="29"/>
      <c r="F334" s="29"/>
    </row>
    <row r="335" spans="1:6" ht="19.95" customHeight="1">
      <c r="A335" s="30"/>
      <c r="B335" s="28"/>
      <c r="C335" s="28"/>
      <c r="D335" s="28"/>
      <c r="E335" s="29"/>
      <c r="F335" s="29"/>
    </row>
    <row r="336" spans="1:6" ht="19.95" customHeight="1">
      <c r="A336" s="30"/>
      <c r="B336" s="28"/>
      <c r="C336" s="28"/>
      <c r="D336" s="28"/>
      <c r="E336" s="29"/>
      <c r="F336" s="29"/>
    </row>
    <row r="337" spans="1:6" ht="19.95" customHeight="1">
      <c r="A337" s="30"/>
      <c r="B337" s="28"/>
      <c r="C337" s="28"/>
      <c r="D337" s="28"/>
      <c r="E337" s="29"/>
      <c r="F337" s="29"/>
    </row>
    <row r="338" spans="1:6" ht="19.95" customHeight="1">
      <c r="A338" s="30"/>
      <c r="B338" s="28"/>
      <c r="C338" s="28"/>
      <c r="D338" s="28"/>
      <c r="E338" s="29"/>
      <c r="F338" s="29"/>
    </row>
    <row r="339" spans="1:6" ht="19.95" customHeight="1">
      <c r="A339" s="32"/>
      <c r="B339" s="14"/>
      <c r="C339" s="28"/>
      <c r="D339" s="28"/>
      <c r="E339" s="29"/>
      <c r="F339" s="29"/>
    </row>
    <row r="340" spans="1:6" ht="19.95" customHeight="1">
      <c r="A340" s="35"/>
      <c r="B340" s="14"/>
      <c r="C340" s="28"/>
      <c r="D340" s="28"/>
      <c r="E340" s="29"/>
      <c r="F340" s="29"/>
    </row>
    <row r="341" spans="1:6" ht="19.95" customHeight="1">
      <c r="A341" s="32"/>
      <c r="B341" s="14"/>
      <c r="C341" s="28"/>
      <c r="D341" s="28"/>
      <c r="E341" s="29"/>
      <c r="F341" s="29"/>
    </row>
    <row r="342" spans="1:6" ht="19.95" customHeight="1">
      <c r="A342" s="35"/>
      <c r="B342" s="14"/>
      <c r="C342" s="28"/>
      <c r="D342" s="28"/>
      <c r="E342" s="29"/>
      <c r="F342" s="29"/>
    </row>
    <row r="343" spans="1:6" ht="19.95" customHeight="1">
      <c r="A343" s="32"/>
      <c r="B343" s="14"/>
      <c r="C343" s="14"/>
      <c r="D343" s="14"/>
      <c r="E343" s="14"/>
      <c r="F343" s="14"/>
    </row>
    <row r="344" spans="1:6" ht="19.95" customHeight="1">
      <c r="A344" s="154" t="s">
        <v>5</v>
      </c>
      <c r="B344" s="154"/>
      <c r="C344" s="154"/>
      <c r="D344" s="154"/>
      <c r="E344" s="154"/>
      <c r="F344" s="154"/>
    </row>
    <row r="345" spans="1:6" ht="19.95" customHeight="1">
      <c r="A345" s="18"/>
      <c r="B345" s="19"/>
      <c r="C345" s="19"/>
      <c r="D345" s="19"/>
      <c r="E345" s="20"/>
      <c r="F345" s="21"/>
    </row>
    <row r="346" spans="1:6" ht="19.95" customHeight="1">
      <c r="A346" s="22"/>
      <c r="E346" s="7" t="s">
        <v>0</v>
      </c>
      <c r="F346" s="8">
        <v>9</v>
      </c>
    </row>
    <row r="347" spans="1:6" ht="19.95" customHeight="1">
      <c r="A347" s="22" t="s">
        <v>12</v>
      </c>
      <c r="F347" s="23"/>
    </row>
    <row r="348" spans="1:6" ht="19.95" customHeight="1">
      <c r="A348" s="24"/>
      <c r="B348" s="25"/>
      <c r="C348" s="25"/>
      <c r="D348" s="25"/>
      <c r="E348" s="25"/>
      <c r="F348" s="26"/>
    </row>
    <row r="349" spans="1:6" ht="19.95" customHeight="1">
      <c r="A349" s="13" t="s">
        <v>6</v>
      </c>
      <c r="B349" s="13" t="s">
        <v>7</v>
      </c>
      <c r="C349" s="13" t="s">
        <v>8</v>
      </c>
      <c r="D349" s="13" t="s">
        <v>9</v>
      </c>
      <c r="E349" s="13" t="s">
        <v>10</v>
      </c>
      <c r="F349" s="13" t="s">
        <v>11</v>
      </c>
    </row>
    <row r="350" spans="1:6" ht="19.95" customHeight="1">
      <c r="A350" s="27"/>
      <c r="B350" s="41"/>
      <c r="C350" s="41"/>
      <c r="D350" s="41"/>
      <c r="E350" s="14"/>
      <c r="F350" s="14"/>
    </row>
    <row r="351" spans="1:6" ht="19.95" customHeight="1">
      <c r="A351" s="27"/>
      <c r="B351" s="41"/>
      <c r="C351" s="41"/>
      <c r="D351" s="41"/>
      <c r="E351" s="14"/>
      <c r="F351" s="14"/>
    </row>
    <row r="352" spans="1:6" ht="19.95" customHeight="1">
      <c r="A352" s="30"/>
      <c r="B352" s="28"/>
      <c r="C352" s="28"/>
      <c r="D352" s="28"/>
      <c r="E352" s="14"/>
      <c r="F352" s="14"/>
    </row>
    <row r="353" spans="1:6" ht="19.95" customHeight="1">
      <c r="A353" s="30"/>
      <c r="B353" s="28"/>
      <c r="C353" s="28"/>
      <c r="D353" s="28"/>
      <c r="E353" s="14"/>
      <c r="F353" s="14"/>
    </row>
    <row r="354" spans="1:6" ht="19.95" customHeight="1">
      <c r="A354" s="30"/>
      <c r="B354" s="28"/>
      <c r="C354" s="28"/>
      <c r="D354" s="28"/>
      <c r="E354" s="14"/>
      <c r="F354" s="14"/>
    </row>
    <row r="355" spans="1:6" ht="19.95" customHeight="1">
      <c r="A355" s="30"/>
      <c r="B355" s="28"/>
      <c r="C355" s="28"/>
      <c r="D355" s="28"/>
      <c r="E355" s="32"/>
      <c r="F355" s="14"/>
    </row>
    <row r="356" spans="1:6" ht="19.95" customHeight="1">
      <c r="A356" s="30"/>
      <c r="B356" s="28"/>
      <c r="C356" s="28"/>
      <c r="D356" s="28"/>
      <c r="E356" s="14"/>
      <c r="F356" s="14"/>
    </row>
    <row r="357" spans="1:6" ht="19.95" customHeight="1">
      <c r="A357" s="30"/>
      <c r="B357" s="28"/>
      <c r="C357" s="28"/>
      <c r="D357" s="28"/>
      <c r="E357" s="14"/>
      <c r="F357" s="14"/>
    </row>
    <row r="358" spans="1:6" ht="19.95" customHeight="1">
      <c r="A358" s="30"/>
      <c r="B358" s="28"/>
      <c r="C358" s="28"/>
      <c r="D358" s="28"/>
      <c r="E358" s="32"/>
      <c r="F358" s="14"/>
    </row>
    <row r="359" spans="1:6" ht="19.95" customHeight="1">
      <c r="A359" s="30"/>
      <c r="B359" s="28"/>
      <c r="C359" s="28"/>
      <c r="D359" s="28"/>
      <c r="E359" s="14"/>
      <c r="F359" s="14"/>
    </row>
    <row r="360" spans="1:6" ht="19.95" customHeight="1">
      <c r="A360" s="30"/>
      <c r="B360" s="28"/>
      <c r="C360" s="28"/>
      <c r="D360" s="28"/>
      <c r="E360" s="14"/>
      <c r="F360" s="14"/>
    </row>
    <row r="361" spans="1:6" ht="19.95" customHeight="1">
      <c r="A361" s="30"/>
      <c r="B361" s="28"/>
      <c r="C361" s="28"/>
      <c r="D361" s="28"/>
      <c r="E361" s="32"/>
      <c r="F361" s="14"/>
    </row>
    <row r="362" spans="1:6" ht="19.95" customHeight="1">
      <c r="A362" s="30"/>
      <c r="B362" s="28"/>
      <c r="C362" s="28"/>
      <c r="D362" s="28"/>
      <c r="E362" s="14"/>
      <c r="F362" s="14"/>
    </row>
    <row r="363" spans="1:6" ht="19.95" customHeight="1">
      <c r="A363" s="30"/>
      <c r="B363" s="28"/>
      <c r="C363" s="28"/>
      <c r="D363" s="28"/>
      <c r="E363" s="14"/>
      <c r="F363" s="14"/>
    </row>
    <row r="364" spans="1:6" ht="19.95" customHeight="1">
      <c r="A364" s="30"/>
      <c r="B364" s="28"/>
      <c r="C364" s="28"/>
      <c r="D364" s="28"/>
      <c r="E364" s="14"/>
      <c r="F364" s="14"/>
    </row>
    <row r="365" spans="1:6" ht="19.95" customHeight="1">
      <c r="A365" s="30"/>
      <c r="B365" s="28"/>
      <c r="C365" s="28"/>
      <c r="D365" s="28"/>
      <c r="E365" s="14"/>
      <c r="F365" s="14"/>
    </row>
    <row r="366" spans="1:6" ht="19.95" customHeight="1">
      <c r="A366" s="30"/>
      <c r="B366" s="28"/>
      <c r="C366" s="28"/>
      <c r="D366" s="28"/>
      <c r="E366" s="14"/>
      <c r="F366" s="14"/>
    </row>
    <row r="367" spans="1:6" ht="19.95" customHeight="1">
      <c r="A367" s="30"/>
      <c r="B367" s="28"/>
      <c r="C367" s="28"/>
      <c r="D367" s="28"/>
      <c r="E367" s="14"/>
      <c r="F367" s="14"/>
    </row>
    <row r="368" spans="1:6" ht="19.95" customHeight="1">
      <c r="A368" s="30"/>
      <c r="B368" s="28"/>
      <c r="C368" s="28"/>
      <c r="D368" s="28"/>
      <c r="E368" s="14"/>
      <c r="F368" s="14"/>
    </row>
    <row r="369" spans="1:6" ht="19.95" customHeight="1">
      <c r="A369" s="30"/>
      <c r="B369" s="28"/>
      <c r="C369" s="28"/>
      <c r="D369" s="28"/>
      <c r="E369" s="14"/>
      <c r="F369" s="14"/>
    </row>
    <row r="370" spans="1:6" ht="19.95" customHeight="1">
      <c r="A370" s="30"/>
      <c r="B370" s="28"/>
      <c r="C370" s="28"/>
      <c r="D370" s="28"/>
      <c r="E370" s="14"/>
      <c r="F370" s="14"/>
    </row>
    <row r="371" spans="1:6" ht="19.95" customHeight="1">
      <c r="A371" s="30"/>
      <c r="B371" s="28"/>
      <c r="C371" s="28"/>
      <c r="D371" s="28"/>
      <c r="E371" s="14"/>
      <c r="F371" s="14"/>
    </row>
    <row r="372" spans="1:6" ht="19.95" customHeight="1">
      <c r="A372" s="30"/>
      <c r="B372" s="28"/>
      <c r="C372" s="28"/>
      <c r="D372" s="28"/>
      <c r="E372" s="14"/>
      <c r="F372" s="14"/>
    </row>
    <row r="373" spans="1:6" ht="19.95" customHeight="1">
      <c r="A373" s="30"/>
      <c r="B373" s="28"/>
      <c r="C373" s="28"/>
      <c r="D373" s="28"/>
      <c r="E373" s="14"/>
      <c r="F373" s="14"/>
    </row>
    <row r="374" spans="1:6" ht="19.95" customHeight="1">
      <c r="A374" s="35"/>
      <c r="B374" s="14"/>
      <c r="C374" s="14"/>
      <c r="D374" s="28"/>
      <c r="E374" s="14"/>
      <c r="F374" s="14"/>
    </row>
    <row r="375" spans="1:6" ht="19.95" customHeight="1">
      <c r="A375" s="35"/>
      <c r="B375" s="14"/>
      <c r="C375" s="14"/>
      <c r="D375" s="28"/>
      <c r="E375" s="14"/>
      <c r="F375" s="14"/>
    </row>
    <row r="376" spans="1:6" ht="19.95" customHeight="1">
      <c r="A376" s="34"/>
      <c r="B376" s="14"/>
      <c r="C376" s="14"/>
      <c r="D376" s="28"/>
      <c r="E376" s="14"/>
      <c r="F376" s="14"/>
    </row>
    <row r="377" spans="1:6" ht="19.95" customHeight="1">
      <c r="A377" s="34"/>
      <c r="B377" s="14"/>
      <c r="C377" s="14"/>
      <c r="D377" s="14"/>
      <c r="E377" s="14"/>
      <c r="F377" s="14"/>
    </row>
    <row r="378" spans="1:6" ht="19.95" customHeight="1">
      <c r="A378" s="34"/>
      <c r="B378" s="14"/>
      <c r="C378" s="14"/>
      <c r="D378" s="14"/>
      <c r="E378" s="14"/>
      <c r="F378" s="14"/>
    </row>
    <row r="379" spans="1:6" ht="19.95" customHeight="1">
      <c r="A379" s="34"/>
      <c r="B379" s="14"/>
      <c r="C379" s="14"/>
      <c r="D379" s="14"/>
      <c r="E379" s="14"/>
      <c r="F379" s="14"/>
    </row>
    <row r="380" spans="1:6" ht="19.95" customHeight="1">
      <c r="A380" s="35"/>
      <c r="B380" s="14"/>
      <c r="C380" s="14"/>
      <c r="D380" s="14"/>
      <c r="E380" s="14"/>
      <c r="F380" s="14"/>
    </row>
    <row r="381" spans="1:6" ht="19.95" customHeight="1">
      <c r="A381" s="32"/>
      <c r="B381" s="14"/>
      <c r="C381" s="14"/>
      <c r="D381" s="14"/>
      <c r="E381" s="14"/>
      <c r="F381" s="14"/>
    </row>
    <row r="382" spans="1:6" ht="19.95" customHeight="1">
      <c r="A382" s="154" t="s">
        <v>5</v>
      </c>
      <c r="B382" s="154"/>
      <c r="C382" s="154"/>
      <c r="D382" s="154"/>
      <c r="E382" s="154"/>
      <c r="F382" s="154"/>
    </row>
    <row r="383" spans="1:6" ht="19.95" customHeight="1">
      <c r="A383" s="18"/>
      <c r="B383" s="19"/>
      <c r="C383" s="19"/>
      <c r="D383" s="19"/>
      <c r="E383" s="20"/>
      <c r="F383" s="21"/>
    </row>
    <row r="384" spans="1:6" ht="19.95" customHeight="1">
      <c r="A384" s="22"/>
      <c r="E384" s="7" t="s">
        <v>0</v>
      </c>
      <c r="F384" s="8">
        <v>10</v>
      </c>
    </row>
    <row r="385" spans="1:6" ht="19.95" customHeight="1">
      <c r="A385" s="22" t="s">
        <v>12</v>
      </c>
      <c r="F385" s="23"/>
    </row>
    <row r="386" spans="1:6" ht="19.95" customHeight="1">
      <c r="A386" s="24"/>
      <c r="B386" s="25"/>
      <c r="C386" s="25"/>
      <c r="D386" s="25"/>
      <c r="E386" s="25"/>
      <c r="F386" s="26"/>
    </row>
    <row r="387" spans="1:6" ht="19.95" customHeight="1">
      <c r="A387" s="13" t="s">
        <v>6</v>
      </c>
      <c r="B387" s="13" t="s">
        <v>7</v>
      </c>
      <c r="C387" s="13" t="s">
        <v>8</v>
      </c>
      <c r="D387" s="13" t="s">
        <v>9</v>
      </c>
      <c r="E387" s="13" t="s">
        <v>10</v>
      </c>
      <c r="F387" s="13" t="s">
        <v>11</v>
      </c>
    </row>
    <row r="388" spans="1:6" ht="19.95" customHeight="1">
      <c r="A388" s="27"/>
      <c r="B388" s="28"/>
      <c r="C388" s="28"/>
      <c r="D388" s="28"/>
      <c r="E388" s="29"/>
      <c r="F388" s="29"/>
    </row>
    <row r="389" spans="1:6" ht="19.95" customHeight="1">
      <c r="A389" s="27"/>
      <c r="B389" s="28"/>
      <c r="C389" s="28"/>
      <c r="D389" s="28"/>
      <c r="E389" s="29"/>
      <c r="F389" s="29"/>
    </row>
    <row r="390" spans="1:6" ht="19.95" customHeight="1">
      <c r="A390" s="30"/>
      <c r="B390" s="28"/>
      <c r="C390" s="28"/>
      <c r="D390" s="28"/>
      <c r="E390" s="29"/>
      <c r="F390" s="29"/>
    </row>
    <row r="391" spans="1:6" ht="19.95" customHeight="1">
      <c r="A391" s="30"/>
      <c r="B391" s="28"/>
      <c r="C391" s="28"/>
      <c r="D391" s="28"/>
      <c r="E391" s="29"/>
      <c r="F391" s="29"/>
    </row>
    <row r="392" spans="1:6" ht="19.95" customHeight="1">
      <c r="A392" s="30"/>
      <c r="B392" s="28"/>
      <c r="C392" s="28"/>
      <c r="D392" s="28"/>
      <c r="E392" s="29"/>
      <c r="F392" s="29"/>
    </row>
    <row r="393" spans="1:6" ht="19.95" customHeight="1">
      <c r="A393" s="30"/>
      <c r="B393" s="28"/>
      <c r="C393" s="28"/>
      <c r="D393" s="28"/>
      <c r="E393" s="29"/>
      <c r="F393" s="29"/>
    </row>
    <row r="394" spans="1:6" ht="19.95" customHeight="1">
      <c r="A394" s="30"/>
      <c r="B394" s="28"/>
      <c r="C394" s="28"/>
      <c r="D394" s="28"/>
      <c r="E394" s="29"/>
      <c r="F394" s="29"/>
    </row>
    <row r="395" spans="1:6" ht="19.95" customHeight="1">
      <c r="A395" s="30"/>
      <c r="B395" s="28"/>
      <c r="C395" s="28"/>
      <c r="D395" s="28"/>
      <c r="E395" s="29"/>
      <c r="F395" s="29"/>
    </row>
    <row r="396" spans="1:6" ht="19.95" customHeight="1">
      <c r="A396" s="30"/>
      <c r="B396" s="28"/>
      <c r="C396" s="28"/>
      <c r="D396" s="28"/>
      <c r="E396" s="29"/>
      <c r="F396" s="29"/>
    </row>
    <row r="397" spans="1:6" ht="19.95" customHeight="1">
      <c r="A397" s="30"/>
      <c r="B397" s="28"/>
      <c r="C397" s="28"/>
      <c r="D397" s="28"/>
      <c r="E397" s="29"/>
      <c r="F397" s="29"/>
    </row>
    <row r="398" spans="1:6" ht="19.95" customHeight="1">
      <c r="A398" s="30"/>
      <c r="B398" s="28"/>
      <c r="C398" s="28"/>
      <c r="D398" s="28"/>
      <c r="E398" s="29"/>
      <c r="F398" s="29"/>
    </row>
    <row r="399" spans="1:6" ht="19.95" customHeight="1">
      <c r="A399" s="30"/>
      <c r="B399" s="28"/>
      <c r="C399" s="28"/>
      <c r="D399" s="28"/>
      <c r="E399" s="29"/>
      <c r="F399" s="29"/>
    </row>
    <row r="400" spans="1:6" ht="19.95" customHeight="1">
      <c r="A400" s="30"/>
      <c r="B400" s="28"/>
      <c r="C400" s="28"/>
      <c r="D400" s="28"/>
      <c r="E400" s="29"/>
      <c r="F400" s="29"/>
    </row>
    <row r="401" spans="1:6" ht="19.95" customHeight="1">
      <c r="A401" s="30"/>
      <c r="B401" s="28"/>
      <c r="C401" s="28"/>
      <c r="D401" s="28"/>
      <c r="E401" s="29"/>
      <c r="F401" s="29"/>
    </row>
    <row r="402" spans="1:6" ht="19.95" customHeight="1">
      <c r="A402" s="30"/>
      <c r="B402" s="28"/>
      <c r="C402" s="28"/>
      <c r="D402" s="28"/>
      <c r="E402" s="29"/>
      <c r="F402" s="29"/>
    </row>
    <row r="403" spans="1:6" ht="19.95" customHeight="1">
      <c r="A403" s="30"/>
      <c r="B403" s="28"/>
      <c r="C403" s="28"/>
      <c r="D403" s="28"/>
      <c r="E403" s="29"/>
      <c r="F403" s="29"/>
    </row>
    <row r="404" spans="1:6" ht="19.95" customHeight="1">
      <c r="A404" s="30"/>
      <c r="B404" s="28"/>
      <c r="C404" s="28"/>
      <c r="D404" s="28"/>
      <c r="E404" s="29"/>
      <c r="F404" s="29"/>
    </row>
    <row r="405" spans="1:6" ht="19.95" customHeight="1">
      <c r="A405" s="30"/>
      <c r="B405" s="28"/>
      <c r="C405" s="28"/>
      <c r="D405" s="28"/>
      <c r="E405" s="29"/>
      <c r="F405" s="29"/>
    </row>
    <row r="406" spans="1:6" ht="19.95" customHeight="1">
      <c r="A406" s="30"/>
      <c r="B406" s="28"/>
      <c r="C406" s="28"/>
      <c r="D406" s="28"/>
      <c r="E406" s="29"/>
      <c r="F406" s="29"/>
    </row>
    <row r="407" spans="1:6" ht="19.95" customHeight="1">
      <c r="A407" s="30"/>
      <c r="B407" s="28"/>
      <c r="C407" s="28"/>
      <c r="D407" s="28"/>
      <c r="E407" s="29"/>
      <c r="F407" s="29"/>
    </row>
    <row r="408" spans="1:6" ht="19.95" customHeight="1">
      <c r="A408" s="30"/>
      <c r="B408" s="28"/>
      <c r="C408" s="28"/>
      <c r="D408" s="28"/>
      <c r="E408" s="29"/>
      <c r="F408" s="29"/>
    </row>
    <row r="409" spans="1:6" ht="19.95" customHeight="1">
      <c r="A409" s="30"/>
      <c r="B409" s="28"/>
      <c r="C409" s="28"/>
      <c r="D409" s="28"/>
      <c r="E409" s="29"/>
      <c r="F409" s="29"/>
    </row>
    <row r="410" spans="1:6" ht="19.95" customHeight="1">
      <c r="A410" s="30"/>
      <c r="B410" s="28"/>
      <c r="C410" s="28"/>
      <c r="D410" s="28"/>
      <c r="E410" s="29"/>
      <c r="F410" s="29"/>
    </row>
    <row r="411" spans="1:6" ht="19.95" customHeight="1">
      <c r="A411" s="34"/>
      <c r="B411" s="29"/>
      <c r="C411" s="29"/>
      <c r="D411" s="28"/>
      <c r="E411" s="29"/>
      <c r="F411" s="29"/>
    </row>
    <row r="412" spans="1:6" ht="19.95" customHeight="1">
      <c r="A412" s="35"/>
      <c r="B412" s="29"/>
      <c r="C412" s="29"/>
      <c r="D412" s="28"/>
      <c r="E412" s="29"/>
      <c r="F412" s="29"/>
    </row>
    <row r="413" spans="1:6" ht="19.95" customHeight="1">
      <c r="A413" s="35"/>
      <c r="B413" s="29"/>
      <c r="C413" s="29"/>
      <c r="D413" s="28"/>
      <c r="E413" s="29"/>
      <c r="F413" s="29"/>
    </row>
    <row r="414" spans="1:6" ht="19.95" customHeight="1">
      <c r="A414" s="34"/>
      <c r="B414" s="29"/>
      <c r="C414" s="29"/>
      <c r="D414" s="28"/>
      <c r="E414" s="29"/>
      <c r="F414" s="29"/>
    </row>
    <row r="415" spans="1:6" ht="19.95" customHeight="1">
      <c r="A415" s="34"/>
      <c r="B415" s="29"/>
      <c r="C415" s="29"/>
      <c r="D415" s="28"/>
      <c r="E415" s="29"/>
      <c r="F415" s="29"/>
    </row>
    <row r="416" spans="1:6" ht="19.95" customHeight="1">
      <c r="A416" s="34"/>
      <c r="B416" s="29"/>
      <c r="C416" s="29"/>
      <c r="D416" s="28"/>
      <c r="E416" s="29"/>
      <c r="F416" s="29"/>
    </row>
    <row r="417" spans="1:6" ht="19.95" customHeight="1">
      <c r="A417" s="34"/>
      <c r="B417" s="29"/>
      <c r="C417" s="29"/>
      <c r="D417" s="28"/>
      <c r="E417" s="29"/>
      <c r="F417" s="29"/>
    </row>
    <row r="418" spans="1:6" ht="19.95" customHeight="1">
      <c r="A418" s="35"/>
      <c r="B418" s="29"/>
      <c r="C418" s="29"/>
      <c r="D418" s="29"/>
      <c r="E418" s="29"/>
      <c r="F418" s="29"/>
    </row>
    <row r="419" spans="1:6" ht="19.95" customHeight="1">
      <c r="A419" s="32"/>
      <c r="B419" s="29"/>
      <c r="C419" s="29"/>
      <c r="D419" s="29"/>
      <c r="E419" s="29"/>
      <c r="F419" s="29"/>
    </row>
    <row r="420" spans="1:6" ht="19.95" customHeight="1">
      <c r="A420" s="154" t="s">
        <v>5</v>
      </c>
      <c r="B420" s="154"/>
      <c r="C420" s="154"/>
      <c r="D420" s="154"/>
      <c r="E420" s="154"/>
      <c r="F420" s="154"/>
    </row>
  </sheetData>
  <mergeCells count="44">
    <mergeCell ref="A306:F306"/>
    <mergeCell ref="A344:F344"/>
    <mergeCell ref="A382:F382"/>
    <mergeCell ref="A420:F420"/>
    <mergeCell ref="A116:F116"/>
    <mergeCell ref="A154:F154"/>
    <mergeCell ref="A192:F192"/>
    <mergeCell ref="A230:F230"/>
    <mergeCell ref="A268:F268"/>
    <mergeCell ref="A35:B35"/>
    <mergeCell ref="A36:B36"/>
    <mergeCell ref="A37:B37"/>
    <mergeCell ref="A38:F38"/>
    <mergeCell ref="A78:F78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D6:F6"/>
    <mergeCell ref="A7:B7"/>
    <mergeCell ref="A10:B10"/>
    <mergeCell ref="A11:B11"/>
    <mergeCell ref="A12:B12"/>
    <mergeCell ref="A9:B9"/>
    <mergeCell ref="A8:B8"/>
    <mergeCell ref="A14:B14"/>
    <mergeCell ref="A13:B13"/>
    <mergeCell ref="A6:B6"/>
  </mergeCells>
  <pageMargins left="0.196527777777778" right="0.196527777777778" top="0.196527777777778" bottom="0.196527777777778" header="0.29861111111111099" footer="0.29861111111111099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KALIKA ENT</dc:creator>
  <cp:lastModifiedBy>Komal Shinde</cp:lastModifiedBy>
  <cp:lastPrinted>2025-10-19T05:22:48Z</cp:lastPrinted>
  <dcterms:created xsi:type="dcterms:W3CDTF">2025-08-13T07:54:00Z</dcterms:created>
  <dcterms:modified xsi:type="dcterms:W3CDTF">2025-10-20T08:44:17Z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2FB5BBD69C754CB2AD88D9A4622C4BA6_11</vt:lpwstr>
  </property>
  <property fmtid="{D5CDD505-2E9C-101B-9397-08002B2CF9AE}" pid="3" name="KSOProductBuildVer">
    <vt:lpwstr>1033-12.2.0.22549</vt:lpwstr>
  </property>
</Properties>
</file>