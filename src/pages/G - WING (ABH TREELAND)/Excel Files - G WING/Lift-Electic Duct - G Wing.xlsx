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ABH TREELAND\"/>
    </mc:Choice>
  </mc:AlternateContent>
  <xr:revisionPtr revIDLastSave="0" documentId="8_{8CCB1F56-1A4B-4E4C-8762-151C184BC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2" l="1"/>
  <c r="E66" i="2"/>
  <c r="F49" i="2"/>
  <c r="E45" i="2"/>
  <c r="F64" i="2"/>
  <c r="F63" i="2"/>
  <c r="E62" i="2"/>
  <c r="E60" i="2"/>
  <c r="F59" i="2"/>
  <c r="F67" i="2" s="1"/>
  <c r="E58" i="2"/>
  <c r="F48" i="2"/>
  <c r="F50" i="2" s="1"/>
  <c r="E47" i="2"/>
  <c r="E46" i="2"/>
  <c r="E50" i="2" l="1"/>
  <c r="E52" i="2" s="1"/>
  <c r="E54" i="2" s="1"/>
  <c r="E8" i="2" s="1"/>
  <c r="E67" i="2"/>
  <c r="E69" i="2" s="1"/>
  <c r="E10" i="2" s="1"/>
  <c r="E12" i="2" l="1"/>
</calcChain>
</file>

<file path=xl/sharedStrings.xml><?xml version="1.0" encoding="utf-8"?>
<sst xmlns="http://schemas.openxmlformats.org/spreadsheetml/2006/main" count="46" uniqueCount="31">
  <si>
    <t xml:space="preserve">Page No :- </t>
  </si>
  <si>
    <t xml:space="preserve">Particular </t>
  </si>
  <si>
    <t>Page No.</t>
  </si>
  <si>
    <t xml:space="preserve">Qty </t>
  </si>
  <si>
    <t>SQM</t>
  </si>
  <si>
    <t xml:space="preserve">Summary :- </t>
  </si>
  <si>
    <t>Particular</t>
  </si>
  <si>
    <t>Nos</t>
  </si>
  <si>
    <t>Length</t>
  </si>
  <si>
    <t>Height</t>
  </si>
  <si>
    <t>Qty</t>
  </si>
  <si>
    <t>Deduct</t>
  </si>
  <si>
    <t>C</t>
  </si>
  <si>
    <t>Site Name :- ABH TREELAND "G" WING</t>
  </si>
  <si>
    <t>North - South Wall</t>
  </si>
  <si>
    <t>East - West Wall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</si>
  <si>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charset val="134"/>
      </rPr>
      <t xml:space="preserve"> Door</t>
    </r>
    <r>
      <rPr>
        <sz val="14"/>
        <color theme="1"/>
        <rFont val="Calibri"/>
        <family val="2"/>
      </rPr>
      <t xml:space="preserve"> ( 1 x 25 )</t>
    </r>
  </si>
  <si>
    <r>
      <rPr>
        <b/>
        <u/>
        <sz val="14"/>
        <color theme="1"/>
        <rFont val="Calibri"/>
        <family val="2"/>
      </rPr>
      <t>Lift : 1</t>
    </r>
    <r>
      <rPr>
        <b/>
        <sz val="14"/>
        <color theme="1"/>
        <rFont val="Calibri"/>
        <family val="2"/>
      </rPr>
      <t xml:space="preserve"> &amp; </t>
    </r>
    <r>
      <rPr>
        <b/>
        <u/>
        <sz val="14"/>
        <color theme="1"/>
        <rFont val="Calibri"/>
        <family val="2"/>
      </rPr>
      <t>Lift : 2</t>
    </r>
    <r>
      <rPr>
        <b/>
        <sz val="14"/>
        <color theme="1"/>
        <rFont val="Calibri"/>
        <family val="2"/>
      </rPr>
      <t xml:space="preserve"> Duct</t>
    </r>
  </si>
  <si>
    <t xml:space="preserve">Electric Duct </t>
  </si>
  <si>
    <t>TOTAL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</si>
  <si>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charset val="134"/>
      </rPr>
      <t xml:space="preserve"> Jambs</t>
    </r>
    <r>
      <rPr>
        <sz val="14"/>
        <color theme="1"/>
        <rFont val="Calibri"/>
        <family val="2"/>
      </rPr>
      <t xml:space="preserve"> ( 1 x 4 ) x 26 F</t>
    </r>
  </si>
  <si>
    <t>Add T &amp; B Jamb Patti ( 1 x 4 ) x 26 F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</si>
  <si>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charset val="134"/>
      </rPr>
      <t xml:space="preserve"> Door</t>
    </r>
    <r>
      <rPr>
        <sz val="14"/>
        <color theme="1"/>
        <rFont val="Calibri"/>
        <family val="2"/>
      </rPr>
      <t xml:space="preserve"> ( 1D x 26F )</t>
    </r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</si>
  <si>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charset val="134"/>
      </rPr>
      <t xml:space="preserve"> Platform Thickness</t>
    </r>
    <r>
      <rPr>
        <sz val="14"/>
        <color theme="1"/>
        <rFont val="Calibri"/>
        <family val="2"/>
      </rPr>
      <t xml:space="preserve"> ( 2P x 26F ) </t>
    </r>
  </si>
  <si>
    <t xml:space="preserve">Add Platform Slab T &amp; B Hor. Jamb ( 2P x 26F ) </t>
  </si>
  <si>
    <t xml:space="preserve">Add Platform Slab Ver. Jamb ( 2P x 26F ) </t>
  </si>
  <si>
    <t>Summary :- Lift &amp; Electric Duct - 1 Coat External Primer</t>
  </si>
  <si>
    <t>Summary :- "1 Coat External Primer" - Lift &amp; Electric Duct</t>
  </si>
  <si>
    <t>Ceiling</t>
  </si>
  <si>
    <r>
      <rPr>
        <b/>
        <sz val="14"/>
        <color theme="1"/>
        <rFont val="Calibri"/>
        <family val="2"/>
      </rPr>
      <t>Deduct -</t>
    </r>
    <r>
      <rPr>
        <sz val="14"/>
        <color theme="1"/>
        <rFont val="Calibri"/>
        <charset val="134"/>
      </rPr>
      <t xml:space="preserve"> Terrace Window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</si>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</sst>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u/>
      <sz val="14"/>
      <color theme="1"/>
      <name val="Calibri"/>
      <family val="2"/>
    </font>
    <font>
      <sz val="14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9" xfId="1" applyFont="1" applyBorder="1">
      <alignment vertical="center"/>
    </xf>
    <xf numFmtId="0" fontId="3" fillId="0" borderId="20" xfId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1" fillId="3" borderId="9" xfId="1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1" fillId="0" borderId="20" xfId="1" applyFont="1" applyBorder="1">
      <alignment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0" fontId="1" fillId="3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0" xfId="1" applyFont="1" applyFill="1" applyBorder="1">
      <alignment vertical="center"/>
    </xf>
    <xf numFmtId="0" fontId="8" fillId="3" borderId="9" xfId="1" applyFont="1" applyFill="1" applyBorder="1">
      <alignment vertical="center"/>
    </xf>
    <xf numFmtId="0" fontId="1" fillId="0" borderId="20" xfId="0" applyFont="1" applyBorder="1" applyAlignment="1">
      <alignment vertical="center"/>
    </xf>
    <xf numFmtId="0" fontId="9" fillId="5" borderId="17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9" fillId="5" borderId="18" xfId="1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9" fillId="2" borderId="17" xfId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4" borderId="21" xfId="1" applyFont="1" applyFill="1" applyBorder="1">
      <alignment vertical="center"/>
    </xf>
    <xf numFmtId="0" fontId="1" fillId="0" borderId="16" xfId="0" applyFont="1" applyBorder="1" applyAlignment="1">
      <alignment vertical="center"/>
    </xf>
    <xf numFmtId="0" fontId="10" fillId="3" borderId="9" xfId="1" applyFont="1" applyFill="1" applyBorder="1">
      <alignment vertical="center"/>
    </xf>
    <xf numFmtId="0" fontId="10" fillId="3" borderId="20" xfId="1" applyFont="1" applyFill="1" applyBorder="1">
      <alignment vertical="center"/>
    </xf>
    <xf numFmtId="0" fontId="3" fillId="3" borderId="20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8" fillId="3" borderId="16" xfId="1" applyFont="1" applyFill="1" applyBorder="1">
      <alignment vertical="center"/>
    </xf>
    <xf numFmtId="0" fontId="11" fillId="3" borderId="9" xfId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23" xfId="1" applyFont="1" applyFill="1" applyBorder="1">
      <alignment vertical="center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tabSelected="1" topLeftCell="A3" zoomScale="98" zoomScaleNormal="85" workbookViewId="0">
      <selection activeCell="A80" sqref="A80"/>
    </sheetView>
  </sheetViews>
  <sheetFormatPr defaultColWidth="9" defaultRowHeight="19.95" customHeight="1"/>
  <cols>
    <col min="1" max="1" width="47.88671875" style="1" customWidth="1"/>
    <col min="2" max="2" width="7.6640625" style="1" customWidth="1"/>
    <col min="3" max="6" width="11.6640625" style="1" customWidth="1"/>
    <col min="7" max="16098" width="9.109375" style="1"/>
    <col min="16099" max="16384" width="9" style="1"/>
  </cols>
  <sheetData>
    <row r="1" spans="1:6" ht="19.95" customHeight="1">
      <c r="A1" s="2"/>
      <c r="B1" s="3"/>
      <c r="C1" s="3"/>
      <c r="D1" s="3"/>
      <c r="E1" s="3"/>
      <c r="F1" s="4"/>
    </row>
    <row r="2" spans="1:6" ht="19.95" customHeight="1">
      <c r="A2" s="53" t="s">
        <v>13</v>
      </c>
      <c r="B2" s="6"/>
      <c r="C2" s="6"/>
      <c r="D2" s="6"/>
      <c r="E2" s="7" t="s">
        <v>0</v>
      </c>
      <c r="F2" s="52" t="s">
        <v>12</v>
      </c>
    </row>
    <row r="3" spans="1:6" ht="19.95" customHeight="1">
      <c r="A3" s="5"/>
      <c r="B3" s="6"/>
      <c r="C3" s="6"/>
      <c r="D3" s="6"/>
      <c r="E3" s="6"/>
      <c r="F3" s="9"/>
    </row>
    <row r="4" spans="1:6" ht="19.95" customHeight="1">
      <c r="A4" s="53" t="s">
        <v>26</v>
      </c>
      <c r="B4" s="6"/>
      <c r="C4" s="6"/>
      <c r="D4" s="6"/>
      <c r="E4" s="6"/>
      <c r="F4" s="9"/>
    </row>
    <row r="5" spans="1:6" ht="19.95" customHeight="1">
      <c r="A5" s="10"/>
      <c r="B5" s="11"/>
      <c r="C5" s="11"/>
      <c r="D5" s="11"/>
      <c r="E5" s="11"/>
      <c r="F5" s="12"/>
    </row>
    <row r="6" spans="1:6" ht="19.95" customHeight="1">
      <c r="A6" s="95" t="s">
        <v>1</v>
      </c>
      <c r="B6" s="95"/>
      <c r="C6" s="13" t="s">
        <v>2</v>
      </c>
      <c r="D6" s="95" t="s">
        <v>3</v>
      </c>
      <c r="E6" s="95"/>
      <c r="F6" s="95"/>
    </row>
    <row r="7" spans="1:6" ht="19.95" customHeight="1" thickBot="1">
      <c r="A7" s="96"/>
      <c r="B7" s="97"/>
      <c r="C7" s="14"/>
      <c r="D7" s="15"/>
      <c r="E7" s="16"/>
      <c r="F7" s="17"/>
    </row>
    <row r="8" spans="1:6" ht="19.95" customHeight="1" thickBot="1">
      <c r="A8" s="91" t="s">
        <v>17</v>
      </c>
      <c r="B8" s="92"/>
      <c r="C8" s="17">
        <v>1</v>
      </c>
      <c r="D8" s="15"/>
      <c r="E8" s="16">
        <f>SUM(E54)</f>
        <v>1330.55</v>
      </c>
      <c r="F8" s="17"/>
    </row>
    <row r="9" spans="1:6" ht="19.95" customHeight="1" thickBot="1">
      <c r="A9" s="102"/>
      <c r="B9" s="103"/>
      <c r="C9" s="14"/>
      <c r="D9" s="15"/>
      <c r="E9" s="16"/>
      <c r="F9" s="17"/>
    </row>
    <row r="10" spans="1:6" ht="19.95" customHeight="1" thickBot="1">
      <c r="A10" s="91" t="s">
        <v>18</v>
      </c>
      <c r="B10" s="92"/>
      <c r="C10" s="17">
        <v>1</v>
      </c>
      <c r="D10" s="15"/>
      <c r="E10" s="16">
        <f>SUM(E69)</f>
        <v>585.26065000000006</v>
      </c>
      <c r="F10" s="17"/>
    </row>
    <row r="11" spans="1:6" ht="19.95" customHeight="1" thickBot="1">
      <c r="A11" s="93"/>
      <c r="B11" s="94"/>
      <c r="C11" s="14"/>
      <c r="D11" s="32"/>
      <c r="E11" s="33"/>
      <c r="F11" s="21"/>
    </row>
    <row r="12" spans="1:6" ht="19.95" customHeight="1" thickBot="1">
      <c r="A12" s="88"/>
      <c r="B12" s="89"/>
      <c r="C12" s="15"/>
      <c r="D12" s="74" t="s">
        <v>19</v>
      </c>
      <c r="E12" s="75">
        <f>SUM(E8:E11)</f>
        <v>1915.8106499999999</v>
      </c>
      <c r="F12" s="76" t="s">
        <v>4</v>
      </c>
    </row>
    <row r="13" spans="1:6" ht="19.95" customHeight="1">
      <c r="A13" s="88"/>
      <c r="B13" s="89"/>
      <c r="C13" s="14"/>
      <c r="D13" s="34"/>
      <c r="E13" s="35"/>
      <c r="F13" s="36"/>
    </row>
    <row r="14" spans="1:6" ht="19.95" customHeight="1">
      <c r="A14" s="88"/>
      <c r="B14" s="89"/>
      <c r="C14" s="14"/>
      <c r="D14" s="15"/>
      <c r="E14" s="16"/>
      <c r="F14" s="17"/>
    </row>
    <row r="15" spans="1:6" ht="19.95" customHeight="1">
      <c r="A15" s="88"/>
      <c r="B15" s="89"/>
      <c r="C15" s="14"/>
      <c r="D15" s="15"/>
      <c r="E15" s="16"/>
      <c r="F15" s="17"/>
    </row>
    <row r="16" spans="1:6" ht="19.95" customHeight="1">
      <c r="A16" s="88"/>
      <c r="B16" s="89"/>
      <c r="C16" s="14"/>
      <c r="D16" s="15"/>
      <c r="E16" s="16"/>
      <c r="F16" s="17"/>
    </row>
    <row r="17" spans="1:9" ht="19.95" customHeight="1">
      <c r="A17" s="88"/>
      <c r="B17" s="89"/>
      <c r="C17" s="14"/>
      <c r="D17" s="15"/>
      <c r="E17" s="16"/>
      <c r="F17" s="17"/>
    </row>
    <row r="18" spans="1:9" ht="19.95" customHeight="1">
      <c r="A18" s="88"/>
      <c r="B18" s="89"/>
      <c r="C18" s="14"/>
      <c r="D18" s="15"/>
      <c r="E18" s="16"/>
      <c r="F18" s="17"/>
    </row>
    <row r="19" spans="1:9" ht="19.95" customHeight="1">
      <c r="A19" s="88"/>
      <c r="B19" s="89"/>
      <c r="C19" s="14"/>
      <c r="D19" s="32"/>
      <c r="E19" s="33"/>
      <c r="F19" s="21"/>
    </row>
    <row r="20" spans="1:9" ht="19.95" customHeight="1">
      <c r="A20" s="88"/>
      <c r="B20" s="89"/>
      <c r="C20" s="15"/>
      <c r="D20" s="39"/>
      <c r="E20" s="40"/>
      <c r="F20" s="41"/>
    </row>
    <row r="21" spans="1:9" ht="19.95" customHeight="1">
      <c r="A21" s="88"/>
      <c r="B21" s="89"/>
      <c r="C21" s="14"/>
      <c r="D21" s="34"/>
      <c r="E21" s="35"/>
      <c r="F21" s="36"/>
    </row>
    <row r="22" spans="1:9" ht="19.95" customHeight="1">
      <c r="A22" s="88"/>
      <c r="B22" s="89"/>
      <c r="C22" s="14"/>
      <c r="D22" s="15"/>
      <c r="E22" s="16"/>
      <c r="F22" s="17"/>
      <c r="I22" s="54"/>
    </row>
    <row r="23" spans="1:9" ht="19.95" customHeight="1">
      <c r="A23" s="88"/>
      <c r="B23" s="89"/>
      <c r="C23" s="14"/>
      <c r="D23" s="15"/>
      <c r="E23" s="16"/>
      <c r="F23" s="17"/>
    </row>
    <row r="24" spans="1:9" ht="19.95" customHeight="1">
      <c r="A24" s="88"/>
      <c r="B24" s="89"/>
      <c r="C24" s="14"/>
      <c r="D24" s="15"/>
      <c r="E24" s="16"/>
      <c r="F24" s="17"/>
    </row>
    <row r="25" spans="1:9" ht="19.95" customHeight="1">
      <c r="A25" s="88"/>
      <c r="B25" s="89"/>
      <c r="C25" s="14"/>
      <c r="D25" s="15"/>
      <c r="E25" s="16"/>
      <c r="F25" s="17"/>
    </row>
    <row r="26" spans="1:9" ht="19.95" customHeight="1">
      <c r="A26" s="88"/>
      <c r="B26" s="89"/>
      <c r="C26" s="14"/>
      <c r="D26" s="15"/>
      <c r="E26" s="16"/>
      <c r="F26" s="17"/>
    </row>
    <row r="27" spans="1:9" ht="19.95" customHeight="1">
      <c r="A27" s="88"/>
      <c r="B27" s="89"/>
      <c r="C27" s="14"/>
      <c r="D27" s="15"/>
      <c r="E27" s="16"/>
      <c r="F27" s="17"/>
    </row>
    <row r="28" spans="1:9" ht="19.95" customHeight="1">
      <c r="A28" s="88"/>
      <c r="B28" s="89"/>
      <c r="C28" s="14"/>
      <c r="D28" s="15"/>
      <c r="E28" s="16"/>
      <c r="F28" s="17"/>
    </row>
    <row r="29" spans="1:9" ht="19.95" customHeight="1">
      <c r="A29" s="88"/>
      <c r="B29" s="89"/>
      <c r="C29" s="14"/>
      <c r="D29" s="32"/>
      <c r="E29" s="33"/>
      <c r="F29" s="21"/>
    </row>
    <row r="30" spans="1:9" ht="19.95" customHeight="1">
      <c r="A30" s="88"/>
      <c r="B30" s="89"/>
      <c r="C30" s="15"/>
      <c r="D30" s="39"/>
      <c r="E30" s="40"/>
      <c r="F30" s="41"/>
    </row>
    <row r="31" spans="1:9" ht="19.95" customHeight="1">
      <c r="A31" s="88"/>
      <c r="B31" s="89"/>
      <c r="C31" s="14"/>
      <c r="D31" s="37"/>
      <c r="E31" s="38"/>
      <c r="F31" s="8"/>
    </row>
    <row r="32" spans="1:9" ht="19.95" customHeight="1">
      <c r="A32" s="88"/>
      <c r="B32" s="89"/>
      <c r="C32" s="15"/>
      <c r="D32" s="39"/>
      <c r="E32" s="40"/>
      <c r="F32" s="41"/>
    </row>
    <row r="33" spans="1:6" ht="19.95" customHeight="1">
      <c r="A33" s="88"/>
      <c r="B33" s="89"/>
      <c r="C33" s="14"/>
      <c r="D33" s="34"/>
      <c r="E33" s="35"/>
      <c r="F33" s="36"/>
    </row>
    <row r="34" spans="1:6" ht="19.95" customHeight="1">
      <c r="A34" s="90"/>
      <c r="B34" s="90"/>
      <c r="C34" s="14"/>
      <c r="D34" s="15"/>
      <c r="E34" s="16"/>
      <c r="F34" s="17"/>
    </row>
    <row r="35" spans="1:6" ht="19.95" customHeight="1">
      <c r="A35" s="86"/>
      <c r="B35" s="87"/>
      <c r="C35" s="14"/>
      <c r="D35" s="15"/>
      <c r="E35" s="16"/>
      <c r="F35" s="17"/>
    </row>
    <row r="36" spans="1:6" ht="19.95" customHeight="1">
      <c r="A36" s="86"/>
      <c r="B36" s="87"/>
      <c r="C36" s="14"/>
      <c r="D36" s="15"/>
      <c r="E36" s="16"/>
      <c r="F36" s="17"/>
    </row>
    <row r="37" spans="1:6" ht="19.95" customHeight="1">
      <c r="A37" s="86"/>
      <c r="B37" s="87"/>
      <c r="C37" s="14"/>
      <c r="D37" s="15"/>
      <c r="E37" s="16"/>
      <c r="F37" s="17"/>
    </row>
    <row r="38" spans="1:6" ht="19.95" customHeight="1">
      <c r="A38" s="85" t="s">
        <v>5</v>
      </c>
      <c r="B38" s="85"/>
      <c r="C38" s="85"/>
      <c r="D38" s="85"/>
      <c r="E38" s="85"/>
      <c r="F38" s="85"/>
    </row>
    <row r="39" spans="1:6" ht="18.75" customHeight="1">
      <c r="A39" s="18"/>
      <c r="B39" s="19"/>
      <c r="C39" s="19"/>
      <c r="D39" s="19"/>
      <c r="E39" s="20"/>
      <c r="F39" s="21"/>
    </row>
    <row r="40" spans="1:6" ht="18.75" customHeight="1">
      <c r="A40" s="53" t="s">
        <v>13</v>
      </c>
      <c r="E40" s="7" t="s">
        <v>0</v>
      </c>
      <c r="F40" s="8">
        <v>1</v>
      </c>
    </row>
    <row r="41" spans="1:6" ht="18.75" customHeight="1">
      <c r="A41" s="55" t="s">
        <v>27</v>
      </c>
      <c r="F41" s="22"/>
    </row>
    <row r="42" spans="1:6" ht="18.75" customHeight="1">
      <c r="A42" s="23"/>
      <c r="B42" s="24"/>
      <c r="C42" s="24"/>
      <c r="D42" s="24"/>
      <c r="E42" s="24"/>
      <c r="F42" s="25"/>
    </row>
    <row r="43" spans="1:6" ht="18.75" customHeight="1" thickBot="1">
      <c r="A43" s="66" t="s">
        <v>6</v>
      </c>
      <c r="B43" s="13" t="s">
        <v>7</v>
      </c>
      <c r="C43" s="13" t="s">
        <v>8</v>
      </c>
      <c r="D43" s="13" t="s">
        <v>9</v>
      </c>
      <c r="E43" s="13" t="s">
        <v>10</v>
      </c>
      <c r="F43" s="13" t="s">
        <v>11</v>
      </c>
    </row>
    <row r="44" spans="1:6" ht="18.75" customHeight="1" thickBot="1">
      <c r="A44" s="67" t="s">
        <v>17</v>
      </c>
      <c r="B44" s="78"/>
      <c r="C44" s="68"/>
      <c r="D44" s="68"/>
      <c r="E44" s="68"/>
      <c r="F44" s="79"/>
    </row>
    <row r="45" spans="1:6" ht="18.75" customHeight="1">
      <c r="A45" s="58" t="s">
        <v>28</v>
      </c>
      <c r="B45" s="14">
        <v>2</v>
      </c>
      <c r="C45" s="14">
        <v>2.5</v>
      </c>
      <c r="D45" s="14">
        <v>2</v>
      </c>
      <c r="E45" s="14">
        <f>D45*C45*B45</f>
        <v>10</v>
      </c>
      <c r="F45" s="31"/>
    </row>
    <row r="46" spans="1:6" ht="18.75" customHeight="1">
      <c r="A46" s="56" t="s">
        <v>14</v>
      </c>
      <c r="B46" s="71">
        <v>2</v>
      </c>
      <c r="C46" s="71">
        <v>2.5</v>
      </c>
      <c r="D46" s="71">
        <v>78</v>
      </c>
      <c r="E46" s="71">
        <f>D46*C46*B46</f>
        <v>390</v>
      </c>
      <c r="F46" s="80"/>
    </row>
    <row r="47" spans="1:6" ht="18.75" customHeight="1">
      <c r="A47" s="57" t="s">
        <v>15</v>
      </c>
      <c r="B47" s="42">
        <v>2</v>
      </c>
      <c r="C47" s="42">
        <v>2</v>
      </c>
      <c r="D47" s="42">
        <v>78</v>
      </c>
      <c r="E47" s="42">
        <f>D47*C47*B47</f>
        <v>312</v>
      </c>
      <c r="F47" s="42"/>
    </row>
    <row r="48" spans="1:6" ht="18.75" customHeight="1">
      <c r="A48" s="81" t="s">
        <v>16</v>
      </c>
      <c r="B48" s="45">
        <v>25</v>
      </c>
      <c r="C48" s="45">
        <v>0.89</v>
      </c>
      <c r="D48" s="45">
        <v>2.1</v>
      </c>
      <c r="E48" s="45"/>
      <c r="F48" s="45">
        <f>D48*C48*B48</f>
        <v>46.725000000000009</v>
      </c>
    </row>
    <row r="49" spans="1:6" ht="18.75" customHeight="1" thickBot="1">
      <c r="A49" s="57" t="s">
        <v>29</v>
      </c>
      <c r="B49" s="42">
        <v>1</v>
      </c>
      <c r="C49" s="82">
        <v>0.54</v>
      </c>
      <c r="D49" s="83">
        <v>0.38</v>
      </c>
      <c r="E49" s="83"/>
      <c r="F49" s="83">
        <f>D49*C49*B49</f>
        <v>0.20520000000000002</v>
      </c>
    </row>
    <row r="50" spans="1:6" ht="18.75" customHeight="1" thickBot="1">
      <c r="A50" s="58"/>
      <c r="B50" s="58"/>
      <c r="C50" s="58"/>
      <c r="D50" s="59" t="s">
        <v>19</v>
      </c>
      <c r="E50" s="60">
        <f>SUM(E45:E48)</f>
        <v>712</v>
      </c>
      <c r="F50" s="61">
        <f>SUM(F46:F48)</f>
        <v>46.725000000000009</v>
      </c>
    </row>
    <row r="51" spans="1:6" ht="18.75" customHeight="1" thickBot="1">
      <c r="A51" s="68"/>
      <c r="B51" s="68"/>
      <c r="C51" s="18"/>
      <c r="D51" s="62"/>
      <c r="E51" s="62"/>
      <c r="F51" s="62"/>
    </row>
    <row r="52" spans="1:6" ht="18.75" customHeight="1" thickBot="1">
      <c r="A52" s="68"/>
      <c r="B52" s="68"/>
      <c r="C52" s="68"/>
      <c r="D52" s="63" t="s">
        <v>19</v>
      </c>
      <c r="E52" s="64">
        <f>E50-F50</f>
        <v>665.27499999999998</v>
      </c>
      <c r="F52" s="65" t="s">
        <v>4</v>
      </c>
    </row>
    <row r="53" spans="1:6" ht="18.75" customHeight="1" thickBot="1">
      <c r="A53" s="31"/>
      <c r="B53" s="31"/>
      <c r="C53" s="98"/>
      <c r="D53" s="101" t="s">
        <v>30</v>
      </c>
      <c r="E53" s="100">
        <v>2</v>
      </c>
      <c r="F53" s="22"/>
    </row>
    <row r="54" spans="1:6" ht="18.75" customHeight="1" thickBot="1">
      <c r="A54" s="31"/>
      <c r="B54" s="31"/>
      <c r="C54" s="98"/>
      <c r="D54" s="63" t="s">
        <v>19</v>
      </c>
      <c r="E54" s="99">
        <f>E53*E52</f>
        <v>1330.55</v>
      </c>
      <c r="F54" s="65" t="s">
        <v>4</v>
      </c>
    </row>
    <row r="55" spans="1:6" ht="18.75" customHeight="1">
      <c r="A55" s="31"/>
      <c r="B55" s="31"/>
      <c r="C55" s="31"/>
      <c r="D55" s="58"/>
      <c r="E55" s="58"/>
      <c r="F55" s="58"/>
    </row>
    <row r="56" spans="1:6" ht="18.75" customHeight="1">
      <c r="A56" s="31"/>
      <c r="B56" s="31"/>
      <c r="C56" s="31"/>
      <c r="D56" s="31"/>
      <c r="E56" s="31"/>
      <c r="F56" s="31"/>
    </row>
    <row r="57" spans="1:6" ht="18.75" customHeight="1" thickBot="1">
      <c r="A57" s="84" t="s">
        <v>18</v>
      </c>
      <c r="B57" s="77"/>
      <c r="C57" s="71"/>
      <c r="D57" s="71"/>
      <c r="E57" s="71"/>
      <c r="F57" s="71"/>
    </row>
    <row r="58" spans="1:6" ht="18.75" customHeight="1">
      <c r="A58" s="69" t="s">
        <v>15</v>
      </c>
      <c r="B58" s="42">
        <v>2</v>
      </c>
      <c r="C58" s="42">
        <v>2.6</v>
      </c>
      <c r="D58" s="42">
        <v>78</v>
      </c>
      <c r="E58" s="42">
        <f>D58*C58*B58</f>
        <v>405.6</v>
      </c>
      <c r="F58" s="42"/>
    </row>
    <row r="59" spans="1:6" ht="18.75" customHeight="1">
      <c r="A59" s="57" t="s">
        <v>20</v>
      </c>
      <c r="B59" s="42">
        <v>104</v>
      </c>
      <c r="C59" s="42">
        <v>3.5000000000000003E-2</v>
      </c>
      <c r="D59" s="42">
        <v>0.6</v>
      </c>
      <c r="E59" s="42"/>
      <c r="F59" s="42">
        <f>D59*C59*B59</f>
        <v>2.1840000000000002</v>
      </c>
    </row>
    <row r="60" spans="1:6" ht="18.75" customHeight="1">
      <c r="A60" s="57" t="s">
        <v>21</v>
      </c>
      <c r="B60" s="42">
        <v>104</v>
      </c>
      <c r="C60" s="42">
        <v>3.5000000000000003E-2</v>
      </c>
      <c r="D60" s="42">
        <v>0.85499999999999998</v>
      </c>
      <c r="E60" s="42">
        <f t="shared" ref="E60" si="0">D60*C60*B60</f>
        <v>3.1122000000000005</v>
      </c>
      <c r="F60" s="42"/>
    </row>
    <row r="61" spans="1:6" ht="18.75" customHeight="1">
      <c r="A61" s="43"/>
      <c r="B61" s="42"/>
      <c r="C61" s="42"/>
      <c r="D61" s="42"/>
      <c r="E61" s="42"/>
      <c r="F61" s="42"/>
    </row>
    <row r="62" spans="1:6" ht="18.75" customHeight="1">
      <c r="A62" s="70" t="s">
        <v>14</v>
      </c>
      <c r="B62" s="42">
        <v>2</v>
      </c>
      <c r="C62" s="42">
        <v>0.85499999999999998</v>
      </c>
      <c r="D62" s="42">
        <v>78</v>
      </c>
      <c r="E62" s="42">
        <f>D62*C62*B62</f>
        <v>133.38</v>
      </c>
      <c r="F62" s="42"/>
    </row>
    <row r="63" spans="1:6" ht="18.75" customHeight="1">
      <c r="A63" s="57" t="s">
        <v>22</v>
      </c>
      <c r="B63" s="42">
        <v>26</v>
      </c>
      <c r="C63" s="42">
        <v>0.85499999999999998</v>
      </c>
      <c r="D63" s="42">
        <v>1.865</v>
      </c>
      <c r="E63" s="42"/>
      <c r="F63" s="42">
        <f>D63*C63*B63</f>
        <v>41.458949999999994</v>
      </c>
    </row>
    <row r="64" spans="1:6" ht="18.75" customHeight="1">
      <c r="A64" s="57" t="s">
        <v>23</v>
      </c>
      <c r="B64" s="42">
        <v>52</v>
      </c>
      <c r="C64" s="42">
        <v>0.56000000000000005</v>
      </c>
      <c r="D64" s="42">
        <v>0.13</v>
      </c>
      <c r="E64" s="42"/>
      <c r="F64" s="42">
        <f>D64*C64*B64</f>
        <v>3.7856000000000001</v>
      </c>
    </row>
    <row r="65" spans="1:6" ht="18.75" customHeight="1">
      <c r="A65" s="57" t="s">
        <v>24</v>
      </c>
      <c r="B65" s="42">
        <v>52</v>
      </c>
      <c r="C65" s="42">
        <v>2.5249999999999999</v>
      </c>
      <c r="D65" s="42">
        <v>0.56000000000000005</v>
      </c>
      <c r="E65" s="42">
        <f>D65*C65*B65</f>
        <v>73.528000000000006</v>
      </c>
      <c r="F65" s="42"/>
    </row>
    <row r="66" spans="1:6" ht="18.75" customHeight="1" thickBot="1">
      <c r="A66" s="57" t="s">
        <v>25</v>
      </c>
      <c r="B66" s="42">
        <v>52</v>
      </c>
      <c r="C66" s="42">
        <v>2.5249999999999999</v>
      </c>
      <c r="D66" s="45">
        <v>0.13</v>
      </c>
      <c r="E66" s="45">
        <f>D66*C66*B66</f>
        <v>17.068999999999999</v>
      </c>
      <c r="F66" s="45"/>
    </row>
    <row r="67" spans="1:6" ht="18.75" customHeight="1" thickBot="1">
      <c r="A67" s="43"/>
      <c r="B67" s="42"/>
      <c r="C67" s="44"/>
      <c r="D67" s="59" t="s">
        <v>19</v>
      </c>
      <c r="E67" s="60">
        <f>SUM(E58:E66)</f>
        <v>632.68920000000003</v>
      </c>
      <c r="F67" s="61">
        <f>SUM(F58:F66)</f>
        <v>47.428549999999994</v>
      </c>
    </row>
    <row r="68" spans="1:6" ht="18.75" customHeight="1" thickBot="1">
      <c r="A68" s="43"/>
      <c r="B68" s="42"/>
      <c r="C68" s="42"/>
      <c r="D68" s="46"/>
      <c r="E68" s="46"/>
      <c r="F68" s="46"/>
    </row>
    <row r="69" spans="1:6" ht="18.75" customHeight="1" thickBot="1">
      <c r="A69" s="43"/>
      <c r="B69" s="42"/>
      <c r="C69" s="44"/>
      <c r="D69" s="63" t="s">
        <v>19</v>
      </c>
      <c r="E69" s="72">
        <f>E67-F67</f>
        <v>585.26065000000006</v>
      </c>
      <c r="F69" s="73" t="s">
        <v>4</v>
      </c>
    </row>
    <row r="70" spans="1:6" ht="18.75" customHeight="1">
      <c r="A70" s="43"/>
      <c r="B70" s="42"/>
      <c r="C70" s="42"/>
      <c r="D70" s="48"/>
      <c r="E70" s="48"/>
      <c r="F70" s="49"/>
    </row>
    <row r="71" spans="1:6" ht="18.75" customHeight="1">
      <c r="A71" s="43"/>
      <c r="B71" s="42"/>
      <c r="C71" s="42"/>
      <c r="D71" s="42"/>
      <c r="E71" s="50"/>
      <c r="F71" s="42"/>
    </row>
    <row r="72" spans="1:6" ht="18.75" customHeight="1">
      <c r="A72" s="43"/>
      <c r="B72" s="42"/>
      <c r="C72" s="42"/>
      <c r="D72" s="48"/>
      <c r="E72" s="51"/>
      <c r="F72" s="48"/>
    </row>
    <row r="73" spans="1:6" ht="18.75" customHeight="1">
      <c r="A73" s="47"/>
      <c r="B73" s="29"/>
      <c r="C73" s="29"/>
      <c r="D73" s="29"/>
      <c r="E73" s="29"/>
      <c r="F73" s="30"/>
    </row>
    <row r="74" spans="1:6" ht="18.75" customHeight="1">
      <c r="A74" s="28"/>
      <c r="B74" s="26"/>
      <c r="C74" s="26"/>
      <c r="D74" s="26"/>
      <c r="E74" s="26"/>
      <c r="F74" s="27"/>
    </row>
    <row r="75" spans="1:6" ht="18.75" customHeight="1">
      <c r="A75" s="28"/>
      <c r="B75" s="26"/>
      <c r="C75" s="26"/>
      <c r="D75" s="26"/>
      <c r="E75" s="26"/>
      <c r="F75" s="27"/>
    </row>
    <row r="76" spans="1:6" ht="18.75" customHeight="1">
      <c r="A76" s="28"/>
      <c r="B76" s="26"/>
      <c r="C76" s="26"/>
      <c r="D76" s="26"/>
      <c r="E76" s="26"/>
      <c r="F76" s="27"/>
    </row>
    <row r="77" spans="1:6" ht="18.75" customHeight="1">
      <c r="A77" s="28"/>
      <c r="B77" s="26"/>
      <c r="C77" s="26"/>
      <c r="D77" s="26"/>
      <c r="E77" s="26"/>
      <c r="F77" s="27"/>
    </row>
    <row r="78" spans="1:6" ht="18.75" customHeight="1">
      <c r="A78" s="85" t="s">
        <v>5</v>
      </c>
      <c r="B78" s="85"/>
      <c r="C78" s="85"/>
      <c r="D78" s="85"/>
      <c r="E78" s="85"/>
      <c r="F78" s="85"/>
    </row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</sheetData>
  <mergeCells count="35">
    <mergeCell ref="A6:B6"/>
    <mergeCell ref="D6:F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5:B35"/>
    <mergeCell ref="A36:B36"/>
    <mergeCell ref="A37:B37"/>
    <mergeCell ref="A38:F38"/>
    <mergeCell ref="A30:B30"/>
    <mergeCell ref="A31:B31"/>
    <mergeCell ref="A32:B32"/>
    <mergeCell ref="A33:B33"/>
    <mergeCell ref="A34:B34"/>
    <mergeCell ref="A78:F78"/>
  </mergeCells>
  <pageMargins left="0.196527777777778" right="0.196527777777778" top="0.196527777777778" bottom="0.196527777777778" header="0.29861111111111099" footer="0.29861111111111099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KALIKA ENT</dc:creator>
  <cp:lastModifiedBy>Komal Shinde</cp:lastModifiedBy>
  <cp:lastPrinted>2025-10-18T07:26:45Z</cp:lastPrinted>
  <dcterms:created xsi:type="dcterms:W3CDTF">2025-08-13T07:54:00Z</dcterms:created>
  <dcterms:modified xsi:type="dcterms:W3CDTF">2025-10-18T07:27:09Z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2FB5BBD69C754CB2AD88D9A4622C4BA6_11</vt:lpwstr>
  </property>
  <property fmtid="{D5CDD505-2E9C-101B-9397-08002B2CF9AE}" pid="3" name="KSOProductBuildVer">
    <vt:lpwstr>1033-12.2.0.22549</vt:lpwstr>
  </property>
</Properties>
</file>