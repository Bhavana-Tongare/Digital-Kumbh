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ABH TREELAND\G - WING (ABH TREELAND)\Excel Files - G WING\"/>
    </mc:Choice>
  </mc:AlternateContent>
  <xr:revisionPtr revIDLastSave="0" documentId="13_ncr:1_{E6F72E7B-91F2-493B-8FB9-87BC94BB5A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E18" i="2"/>
  <c r="E16" i="2"/>
  <c r="E15" i="2"/>
  <c r="E13" i="2"/>
  <c r="E12" i="2"/>
  <c r="E10" i="2"/>
  <c r="E8" i="2"/>
  <c r="E515" i="2"/>
  <c r="E514" i="2"/>
  <c r="E512" i="2"/>
  <c r="E511" i="2"/>
  <c r="E510" i="2"/>
  <c r="E509" i="2"/>
  <c r="E507" i="2"/>
  <c r="E506" i="2"/>
  <c r="E505" i="2"/>
  <c r="E504" i="2"/>
  <c r="E502" i="2"/>
  <c r="E501" i="2"/>
  <c r="E503" i="2"/>
  <c r="E500" i="2"/>
  <c r="E417" i="2"/>
  <c r="E485" i="2"/>
  <c r="E483" i="2"/>
  <c r="E482" i="2"/>
  <c r="E481" i="2"/>
  <c r="E480" i="2"/>
  <c r="E477" i="2"/>
  <c r="E475" i="2"/>
  <c r="E473" i="2"/>
  <c r="E471" i="2"/>
  <c r="E472" i="2"/>
  <c r="E470" i="2"/>
  <c r="E467" i="2"/>
  <c r="E466" i="2"/>
  <c r="E463" i="2"/>
  <c r="E455" i="2"/>
  <c r="E453" i="2"/>
  <c r="E451" i="2"/>
  <c r="E450" i="2"/>
  <c r="E447" i="2"/>
  <c r="E446" i="2"/>
  <c r="E443" i="2"/>
  <c r="E442" i="2"/>
  <c r="E439" i="2"/>
  <c r="E437" i="2"/>
  <c r="E435" i="2"/>
  <c r="E434" i="2"/>
  <c r="E431" i="2"/>
  <c r="E429" i="2"/>
  <c r="E426" i="2"/>
  <c r="E409" i="2"/>
  <c r="E410" i="2"/>
  <c r="E411" i="2"/>
  <c r="E408" i="2"/>
  <c r="E403" i="2"/>
  <c r="E404" i="2"/>
  <c r="E405" i="2"/>
  <c r="E402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387" i="2"/>
  <c r="E373" i="2"/>
  <c r="E371" i="2"/>
  <c r="E370" i="2"/>
  <c r="E369" i="2"/>
  <c r="E367" i="2"/>
  <c r="E365" i="2"/>
  <c r="E364" i="2"/>
  <c r="E363" i="2"/>
  <c r="F362" i="2"/>
  <c r="F377" i="2" s="1"/>
  <c r="E361" i="2"/>
  <c r="E359" i="2"/>
  <c r="E358" i="2"/>
  <c r="E357" i="2"/>
  <c r="E356" i="2"/>
  <c r="E355" i="2"/>
  <c r="E354" i="2"/>
  <c r="E353" i="2"/>
  <c r="E352" i="2"/>
  <c r="E351" i="2"/>
  <c r="E350" i="2"/>
  <c r="E349" i="2"/>
  <c r="E336" i="2"/>
  <c r="E335" i="2"/>
  <c r="E334" i="2"/>
  <c r="E333" i="2"/>
  <c r="E332" i="2"/>
  <c r="E331" i="2"/>
  <c r="E330" i="2"/>
  <c r="E329" i="2"/>
  <c r="E328" i="2"/>
  <c r="E327" i="2"/>
  <c r="E325" i="2"/>
  <c r="E324" i="2"/>
  <c r="E323" i="2"/>
  <c r="E322" i="2"/>
  <c r="E321" i="2"/>
  <c r="E320" i="2"/>
  <c r="F318" i="2"/>
  <c r="E317" i="2"/>
  <c r="E315" i="2"/>
  <c r="E314" i="2"/>
  <c r="F313" i="2"/>
  <c r="F312" i="2"/>
  <c r="E311" i="2"/>
  <c r="E298" i="2"/>
  <c r="E297" i="2"/>
  <c r="E296" i="2"/>
  <c r="E295" i="2"/>
  <c r="E294" i="2"/>
  <c r="F293" i="2"/>
  <c r="E292" i="2"/>
  <c r="E290" i="2"/>
  <c r="E289" i="2"/>
  <c r="E288" i="2"/>
  <c r="E287" i="2"/>
  <c r="E286" i="2"/>
  <c r="E285" i="2"/>
  <c r="E284" i="2"/>
  <c r="E283" i="2"/>
  <c r="E281" i="2"/>
  <c r="E280" i="2"/>
  <c r="E279" i="2"/>
  <c r="E277" i="2"/>
  <c r="E276" i="2"/>
  <c r="E275" i="2"/>
  <c r="F274" i="2"/>
  <c r="F301" i="2" s="1"/>
  <c r="E260" i="2"/>
  <c r="E273" i="2"/>
  <c r="E259" i="2"/>
  <c r="E258" i="2"/>
  <c r="E256" i="2"/>
  <c r="F254" i="2"/>
  <c r="E253" i="2"/>
  <c r="E252" i="2"/>
  <c r="E251" i="2"/>
  <c r="F249" i="2"/>
  <c r="E248" i="2"/>
  <c r="E247" i="2"/>
  <c r="F246" i="2"/>
  <c r="F245" i="2"/>
  <c r="F263" i="2" s="1"/>
  <c r="E244" i="2"/>
  <c r="E242" i="2"/>
  <c r="E241" i="2"/>
  <c r="E239" i="2"/>
  <c r="E240" i="2"/>
  <c r="E238" i="2"/>
  <c r="E237" i="2"/>
  <c r="E236" i="2"/>
  <c r="E235" i="2"/>
  <c r="E203" i="2"/>
  <c r="F202" i="2"/>
  <c r="E201" i="2"/>
  <c r="E199" i="2"/>
  <c r="F198" i="2"/>
  <c r="E197" i="2"/>
  <c r="E183" i="2"/>
  <c r="F182" i="2"/>
  <c r="E181" i="2"/>
  <c r="F173" i="2"/>
  <c r="E179" i="2"/>
  <c r="F178" i="2"/>
  <c r="E177" i="2"/>
  <c r="E174" i="2"/>
  <c r="F172" i="2"/>
  <c r="E171" i="2"/>
  <c r="E169" i="2"/>
  <c r="F168" i="2"/>
  <c r="E167" i="2"/>
  <c r="E165" i="2"/>
  <c r="F164" i="2"/>
  <c r="E163" i="2"/>
  <c r="E161" i="2"/>
  <c r="F160" i="2"/>
  <c r="E159" i="2"/>
  <c r="E136" i="2"/>
  <c r="E134" i="2"/>
  <c r="F133" i="2"/>
  <c r="F149" i="2" s="1"/>
  <c r="E132" i="2"/>
  <c r="E129" i="2"/>
  <c r="E128" i="2"/>
  <c r="E126" i="2"/>
  <c r="F125" i="2"/>
  <c r="E124" i="2"/>
  <c r="E122" i="2"/>
  <c r="E121" i="2"/>
  <c r="E100" i="2"/>
  <c r="F99" i="2"/>
  <c r="E98" i="2"/>
  <c r="E96" i="2"/>
  <c r="F95" i="2"/>
  <c r="E94" i="2"/>
  <c r="E92" i="2"/>
  <c r="F91" i="2"/>
  <c r="E90" i="2"/>
  <c r="F87" i="2"/>
  <c r="E86" i="2"/>
  <c r="F85" i="2"/>
  <c r="F84" i="2"/>
  <c r="E83" i="2"/>
  <c r="F63" i="2"/>
  <c r="E62" i="2"/>
  <c r="E71" i="2"/>
  <c r="E70" i="2"/>
  <c r="F69" i="2"/>
  <c r="E68" i="2"/>
  <c r="F67" i="2"/>
  <c r="F66" i="2"/>
  <c r="E65" i="2"/>
  <c r="F61" i="2"/>
  <c r="F60" i="2"/>
  <c r="E59" i="2"/>
  <c r="F58" i="2"/>
  <c r="E57" i="2"/>
  <c r="E55" i="2"/>
  <c r="F54" i="2"/>
  <c r="E53" i="2"/>
  <c r="E51" i="2"/>
  <c r="F50" i="2"/>
  <c r="E49" i="2"/>
  <c r="E47" i="2"/>
  <c r="F46" i="2"/>
  <c r="E45" i="2"/>
  <c r="E225" i="2" l="1"/>
  <c r="E377" i="2"/>
  <c r="E379" i="2" s="1"/>
  <c r="F111" i="2"/>
  <c r="F339" i="2"/>
  <c r="F187" i="2"/>
  <c r="E149" i="2"/>
  <c r="E151" i="2" s="1"/>
  <c r="E111" i="2"/>
  <c r="E113" i="2" s="1"/>
  <c r="E301" i="2"/>
  <c r="E303" i="2" s="1"/>
  <c r="F225" i="2"/>
  <c r="E187" i="2"/>
  <c r="E189" i="2" s="1"/>
  <c r="E339" i="2"/>
  <c r="E341" i="2" s="1"/>
  <c r="E263" i="2"/>
  <c r="E265" i="2" s="1"/>
  <c r="F73" i="2"/>
  <c r="E73" i="2"/>
  <c r="E227" i="2" l="1"/>
  <c r="E75" i="2"/>
</calcChain>
</file>

<file path=xl/sharedStrings.xml><?xml version="1.0" encoding="utf-8"?>
<sst xmlns="http://schemas.openxmlformats.org/spreadsheetml/2006/main" count="475" uniqueCount="188">
  <si>
    <t xml:space="preserve">Page No :- </t>
  </si>
  <si>
    <t>A</t>
  </si>
  <si>
    <t>Summary :- Total Qty</t>
  </si>
  <si>
    <t xml:space="preserve">Particular </t>
  </si>
  <si>
    <t>Page No.</t>
  </si>
  <si>
    <t xml:space="preserve">Qty </t>
  </si>
  <si>
    <t>SQM</t>
  </si>
  <si>
    <t xml:space="preserve">Summary :- </t>
  </si>
  <si>
    <t>Particular</t>
  </si>
  <si>
    <t>Nos</t>
  </si>
  <si>
    <t>Length</t>
  </si>
  <si>
    <t>Height</t>
  </si>
  <si>
    <t>Qty</t>
  </si>
  <si>
    <t>Deduct</t>
  </si>
  <si>
    <t>ABH TREELAND 'G' Wing</t>
  </si>
  <si>
    <t>Summary :- South Side Duct</t>
  </si>
  <si>
    <r>
      <rPr>
        <b/>
        <sz val="14"/>
        <color theme="1"/>
        <rFont val="Calibri"/>
        <family val="2"/>
        <scheme val="minor"/>
      </rPr>
      <t xml:space="preserve">Deduct : </t>
    </r>
    <r>
      <rPr>
        <sz val="14"/>
        <color theme="1"/>
        <rFont val="Calibri"/>
        <family val="2"/>
        <scheme val="minor"/>
      </rPr>
      <t>Window ( 1W x 21F )</t>
    </r>
  </si>
  <si>
    <t>Add Ver. Jamb Wall</t>
  </si>
  <si>
    <r>
      <t xml:space="preserve">A. </t>
    </r>
    <r>
      <rPr>
        <sz val="14"/>
        <color theme="1"/>
        <rFont val="Calibri"/>
        <family val="2"/>
        <scheme val="minor"/>
      </rPr>
      <t>WALL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( M. Bed Room )</t>
    </r>
  </si>
  <si>
    <r>
      <t xml:space="preserve">B. </t>
    </r>
    <r>
      <rPr>
        <sz val="14"/>
        <color theme="1"/>
        <rFont val="Calibri"/>
        <family val="2"/>
        <scheme val="minor"/>
      </rPr>
      <t>WALL ( Children Bed Room )</t>
    </r>
  </si>
  <si>
    <r>
      <t xml:space="preserve">C. </t>
    </r>
    <r>
      <rPr>
        <sz val="14"/>
        <color theme="1"/>
        <rFont val="Calibri"/>
        <family val="2"/>
        <scheme val="minor"/>
      </rPr>
      <t>WALL ( Utility Area )</t>
    </r>
  </si>
  <si>
    <r>
      <rPr>
        <b/>
        <sz val="14"/>
        <color theme="1"/>
        <rFont val="Calibri"/>
        <family val="2"/>
        <scheme val="minor"/>
      </rPr>
      <t xml:space="preserve">Deduct : </t>
    </r>
    <r>
      <rPr>
        <sz val="14"/>
        <color theme="1"/>
        <rFont val="Calibri"/>
        <family val="2"/>
        <scheme val="minor"/>
      </rPr>
      <t>Utility Balcony ( 1U x 21F )</t>
    </r>
  </si>
  <si>
    <r>
      <t xml:space="preserve">D. </t>
    </r>
    <r>
      <rPr>
        <sz val="14"/>
        <color theme="1"/>
        <rFont val="Calibri"/>
        <family val="2"/>
        <scheme val="minor"/>
      </rPr>
      <t>WALL ( Hall )</t>
    </r>
  </si>
  <si>
    <r>
      <rPr>
        <b/>
        <sz val="14"/>
        <color theme="1"/>
        <rFont val="Calibri"/>
        <family val="2"/>
        <scheme val="minor"/>
      </rPr>
      <t xml:space="preserve">Deduct : </t>
    </r>
    <r>
      <rPr>
        <sz val="14"/>
        <color theme="1"/>
        <rFont val="Calibri"/>
        <family val="2"/>
        <scheme val="minor"/>
      </rPr>
      <t>Hall Balcony ( 1B x 21F )</t>
    </r>
  </si>
  <si>
    <r>
      <rPr>
        <b/>
        <sz val="14"/>
        <color theme="1"/>
        <rFont val="Calibri"/>
        <family val="2"/>
        <scheme val="minor"/>
      </rPr>
      <t>Deduct :</t>
    </r>
    <r>
      <rPr>
        <sz val="14"/>
        <color theme="1"/>
        <rFont val="Calibri"/>
        <family val="2"/>
        <scheme val="minor"/>
      </rPr>
      <t xml:space="preserve"> Refuge Slab ( 1S x 3S )</t>
    </r>
  </si>
  <si>
    <r>
      <rPr>
        <b/>
        <sz val="14"/>
        <color theme="1"/>
        <rFont val="Calibri"/>
        <family val="2"/>
        <scheme val="minor"/>
      </rPr>
      <t>Deduct :</t>
    </r>
    <r>
      <rPr>
        <sz val="14"/>
        <color theme="1"/>
        <rFont val="Calibri"/>
        <family val="2"/>
        <scheme val="minor"/>
      </rPr>
      <t xml:space="preserve"> Refuge Slab Beam ( 1B x 3B )</t>
    </r>
  </si>
  <si>
    <r>
      <t xml:space="preserve">E. </t>
    </r>
    <r>
      <rPr>
        <sz val="14"/>
        <color theme="1"/>
        <rFont val="Calibri"/>
        <family val="2"/>
        <scheme val="minor"/>
      </rPr>
      <t>WALL ( Refuge Wall )</t>
    </r>
  </si>
  <si>
    <r>
      <rPr>
        <b/>
        <sz val="14"/>
        <color theme="1"/>
        <rFont val="Calibri"/>
        <family val="2"/>
        <scheme val="minor"/>
      </rPr>
      <t xml:space="preserve">Deduct : </t>
    </r>
    <r>
      <rPr>
        <sz val="14"/>
        <color theme="1"/>
        <rFont val="Calibri"/>
        <family val="2"/>
        <scheme val="minor"/>
      </rPr>
      <t>Windows ( 1W x 18F )</t>
    </r>
  </si>
  <si>
    <r>
      <rPr>
        <b/>
        <sz val="14"/>
        <color theme="1"/>
        <rFont val="Calibri"/>
        <family val="2"/>
        <scheme val="minor"/>
      </rPr>
      <t xml:space="preserve">Deduct : </t>
    </r>
    <r>
      <rPr>
        <sz val="14"/>
        <color theme="1"/>
        <rFont val="Calibri"/>
        <family val="2"/>
        <scheme val="minor"/>
      </rPr>
      <t xml:space="preserve">Door </t>
    </r>
  </si>
  <si>
    <t>Add Terrace Balance Wall</t>
  </si>
  <si>
    <t>Add Int. Ver. Jamb</t>
  </si>
  <si>
    <r>
      <rPr>
        <b/>
        <sz val="14"/>
        <color theme="1"/>
        <rFont val="Calibri"/>
        <family val="2"/>
        <scheme val="minor"/>
      </rPr>
      <t xml:space="preserve">Deduct : </t>
    </r>
    <r>
      <rPr>
        <sz val="14"/>
        <color theme="1"/>
        <rFont val="Calibri"/>
        <family val="2"/>
        <scheme val="minor"/>
      </rPr>
      <t xml:space="preserve">Window </t>
    </r>
  </si>
  <si>
    <t>Add Top Beam Bot. Hor. Jamb</t>
  </si>
  <si>
    <t>TOTAL</t>
  </si>
  <si>
    <t>Add Ver. Jamb Wall ( 2.762 + 2.700 = 5.462 )</t>
  </si>
  <si>
    <r>
      <rPr>
        <b/>
        <sz val="14"/>
        <color theme="1"/>
        <rFont val="Calibri"/>
        <family val="2"/>
        <scheme val="minor"/>
      </rPr>
      <t>Deduct :</t>
    </r>
    <r>
      <rPr>
        <sz val="14"/>
        <color theme="1"/>
        <rFont val="Calibri"/>
        <family val="2"/>
        <scheme val="minor"/>
      </rPr>
      <t xml:space="preserve"> Beam</t>
    </r>
  </si>
  <si>
    <t>Add Extra Int. Ver. Jamb</t>
  </si>
  <si>
    <t xml:space="preserve">Add Extra Int. Ver. Balance Jamb </t>
  </si>
  <si>
    <r>
      <t xml:space="preserve">E. </t>
    </r>
    <r>
      <rPr>
        <sz val="14"/>
        <color theme="1"/>
        <rFont val="Calibri"/>
        <family val="2"/>
        <scheme val="minor"/>
      </rPr>
      <t xml:space="preserve">WALL </t>
    </r>
    <r>
      <rPr>
        <b/>
        <sz val="14"/>
        <color theme="1"/>
        <rFont val="Calibri"/>
        <family val="2"/>
        <scheme val="minor"/>
      </rPr>
      <t>Ver. Jamb</t>
    </r>
    <r>
      <rPr>
        <sz val="14"/>
        <color theme="1"/>
        <rFont val="Calibri"/>
        <family val="2"/>
        <scheme val="minor"/>
      </rPr>
      <t xml:space="preserve"> ( Refuge Wall )</t>
    </r>
  </si>
  <si>
    <t>FLAT NO. : 2</t>
  </si>
  <si>
    <r>
      <t xml:space="preserve">F. </t>
    </r>
    <r>
      <rPr>
        <sz val="14"/>
        <color theme="1"/>
        <rFont val="Calibri"/>
        <family val="2"/>
        <scheme val="minor"/>
      </rPr>
      <t>WALL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( Hall )</t>
    </r>
  </si>
  <si>
    <r>
      <t xml:space="preserve">G. </t>
    </r>
    <r>
      <rPr>
        <sz val="14"/>
        <color theme="1"/>
        <rFont val="Calibri"/>
        <family val="2"/>
        <scheme val="minor"/>
      </rPr>
      <t>WALL ( Utility Area )</t>
    </r>
  </si>
  <si>
    <r>
      <t xml:space="preserve">H. </t>
    </r>
    <r>
      <rPr>
        <sz val="14"/>
        <color theme="1"/>
        <rFont val="Calibri"/>
        <family val="2"/>
        <scheme val="minor"/>
      </rPr>
      <t>WALL ( Children Bed Room )</t>
    </r>
  </si>
  <si>
    <t>FLAT NO. : 3 [ WEST SIDE ]</t>
  </si>
  <si>
    <r>
      <rPr>
        <b/>
        <sz val="14"/>
        <color theme="1"/>
        <rFont val="Calibri"/>
        <family val="2"/>
        <scheme val="minor"/>
      </rPr>
      <t>A.</t>
    </r>
    <r>
      <rPr>
        <sz val="14"/>
        <color theme="1"/>
        <rFont val="Calibri"/>
        <family val="2"/>
        <scheme val="minor"/>
      </rPr>
      <t xml:space="preserve"> WALL ( M. Bed Room )</t>
    </r>
  </si>
  <si>
    <t>Add Ver. Jamb</t>
  </si>
  <si>
    <r>
      <rPr>
        <b/>
        <sz val="14"/>
        <color theme="1"/>
        <rFont val="Calibri"/>
        <family val="2"/>
        <scheme val="minor"/>
      </rPr>
      <t>B.</t>
    </r>
    <r>
      <rPr>
        <sz val="14"/>
        <color theme="1"/>
        <rFont val="Calibri"/>
        <family val="2"/>
        <scheme val="minor"/>
      </rPr>
      <t xml:space="preserve"> WALL ( M. Bed Room )</t>
    </r>
  </si>
  <si>
    <r>
      <rPr>
        <b/>
        <sz val="14"/>
        <color theme="1"/>
        <rFont val="Calibri"/>
        <family val="2"/>
        <scheme val="minor"/>
      </rPr>
      <t>C.</t>
    </r>
    <r>
      <rPr>
        <sz val="14"/>
        <color theme="1"/>
        <rFont val="Calibri"/>
        <family val="2"/>
        <scheme val="minor"/>
      </rPr>
      <t xml:space="preserve"> WALL ( Staircase Wall )</t>
    </r>
  </si>
  <si>
    <r>
      <rPr>
        <b/>
        <sz val="14"/>
        <color theme="1"/>
        <rFont val="Calibri"/>
        <family val="2"/>
        <scheme val="minor"/>
      </rPr>
      <t>D.</t>
    </r>
    <r>
      <rPr>
        <sz val="14"/>
        <color theme="1"/>
        <rFont val="Calibri"/>
        <family val="2"/>
        <scheme val="minor"/>
      </rPr>
      <t xml:space="preserve"> WALL ( M. Bed Room )</t>
    </r>
  </si>
  <si>
    <r>
      <rPr>
        <b/>
        <sz val="14"/>
        <color theme="1"/>
        <rFont val="Calibri"/>
        <family val="2"/>
        <scheme val="minor"/>
      </rPr>
      <t>E.</t>
    </r>
    <r>
      <rPr>
        <sz val="14"/>
        <color theme="1"/>
        <rFont val="Calibri"/>
        <family val="2"/>
        <scheme val="minor"/>
      </rPr>
      <t xml:space="preserve"> WALL ( Children Bed Room )</t>
    </r>
  </si>
  <si>
    <t>FLAT NO. : 1</t>
  </si>
  <si>
    <r>
      <rPr>
        <b/>
        <sz val="14"/>
        <color theme="1"/>
        <rFont val="Calibri"/>
        <family val="2"/>
        <scheme val="minor"/>
      </rPr>
      <t>A.</t>
    </r>
    <r>
      <rPr>
        <sz val="14"/>
        <color theme="1"/>
        <rFont val="Calibri"/>
        <family val="2"/>
        <scheme val="minor"/>
      </rPr>
      <t xml:space="preserve"> WALL ( Children Bed Room )</t>
    </r>
  </si>
  <si>
    <r>
      <rPr>
        <b/>
        <sz val="14"/>
        <color theme="1"/>
        <rFont val="Calibri"/>
        <family val="2"/>
        <scheme val="minor"/>
      </rPr>
      <t>B.</t>
    </r>
    <r>
      <rPr>
        <sz val="14"/>
        <color theme="1"/>
        <rFont val="Calibri"/>
        <family val="2"/>
        <scheme val="minor"/>
      </rPr>
      <t xml:space="preserve"> WALL ( Utility Area )</t>
    </r>
  </si>
  <si>
    <r>
      <t xml:space="preserve">C. </t>
    </r>
    <r>
      <rPr>
        <sz val="14"/>
        <color theme="1"/>
        <rFont val="Calibri"/>
        <family val="2"/>
        <scheme val="minor"/>
      </rPr>
      <t>WALL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( Hall )</t>
    </r>
  </si>
  <si>
    <r>
      <t xml:space="preserve">E. </t>
    </r>
    <r>
      <rPr>
        <sz val="14"/>
        <color theme="1"/>
        <rFont val="Calibri"/>
        <family val="2"/>
        <scheme val="minor"/>
      </rPr>
      <t>WALL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( Hall )</t>
    </r>
  </si>
  <si>
    <r>
      <rPr>
        <b/>
        <sz val="14"/>
        <color theme="1"/>
        <rFont val="Calibri"/>
        <family val="2"/>
        <scheme val="minor"/>
      </rPr>
      <t xml:space="preserve">Deduct : </t>
    </r>
    <r>
      <rPr>
        <sz val="14"/>
        <color theme="1"/>
        <rFont val="Calibri"/>
        <family val="2"/>
        <scheme val="minor"/>
      </rPr>
      <t>Garbaje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Window ( 1W x 21F )</t>
    </r>
  </si>
  <si>
    <r>
      <t xml:space="preserve">F. </t>
    </r>
    <r>
      <rPr>
        <sz val="14"/>
        <color theme="1"/>
        <rFont val="Calibri"/>
        <family val="2"/>
        <scheme val="minor"/>
      </rPr>
      <t>WALL ( Utility Area )</t>
    </r>
  </si>
  <si>
    <r>
      <t xml:space="preserve">D. </t>
    </r>
    <r>
      <rPr>
        <sz val="14"/>
        <color theme="1"/>
        <rFont val="Calibri"/>
        <family val="2"/>
        <scheme val="minor"/>
      </rPr>
      <t>WALL</t>
    </r>
    <r>
      <rPr>
        <b/>
        <sz val="14"/>
        <color theme="1"/>
        <rFont val="Calibri"/>
        <family val="2"/>
        <scheme val="minor"/>
      </rPr>
      <t xml:space="preserve"> ( Staircase Wall )</t>
    </r>
  </si>
  <si>
    <t>FLAT NO. : 4</t>
  </si>
  <si>
    <r>
      <rPr>
        <b/>
        <sz val="14"/>
        <color theme="1"/>
        <rFont val="Calibri"/>
        <family val="2"/>
        <scheme val="minor"/>
      </rPr>
      <t>G.</t>
    </r>
    <r>
      <rPr>
        <sz val="14"/>
        <color theme="1"/>
        <rFont val="Calibri"/>
        <family val="2"/>
        <scheme val="minor"/>
      </rPr>
      <t xml:space="preserve"> WALL ( Children Bed Room )</t>
    </r>
  </si>
  <si>
    <r>
      <rPr>
        <b/>
        <sz val="14"/>
        <color theme="1"/>
        <rFont val="Calibri"/>
        <family val="2"/>
        <scheme val="minor"/>
      </rPr>
      <t>H.</t>
    </r>
    <r>
      <rPr>
        <sz val="14"/>
        <color theme="1"/>
        <rFont val="Calibri"/>
        <family val="2"/>
        <scheme val="minor"/>
      </rPr>
      <t xml:space="preserve"> WALL ( M. Bed Room )</t>
    </r>
  </si>
  <si>
    <r>
      <t>Summary :- External Wall "</t>
    </r>
    <r>
      <rPr>
        <b/>
        <u/>
        <sz val="14"/>
        <color theme="1"/>
        <rFont val="Calibri"/>
        <family val="2"/>
        <scheme val="minor"/>
      </rPr>
      <t>Ultima Protek</t>
    </r>
    <r>
      <rPr>
        <b/>
        <sz val="14"/>
        <color theme="1"/>
        <rFont val="Calibri"/>
        <family val="2"/>
        <scheme val="minor"/>
      </rPr>
      <t>" { West Side }</t>
    </r>
  </si>
  <si>
    <r>
      <t>Summary :- External Wall "</t>
    </r>
    <r>
      <rPr>
        <b/>
        <u/>
        <sz val="14"/>
        <color theme="1"/>
        <rFont val="Calibri"/>
        <family val="2"/>
        <scheme val="minor"/>
      </rPr>
      <t>Ultima Protek</t>
    </r>
    <r>
      <rPr>
        <b/>
        <sz val="14"/>
        <color theme="1"/>
        <rFont val="Calibri"/>
        <family val="2"/>
        <scheme val="minor"/>
      </rPr>
      <t>" { South Side }</t>
    </r>
  </si>
  <si>
    <r>
      <t>Summary :- External Wall "</t>
    </r>
    <r>
      <rPr>
        <b/>
        <u/>
        <sz val="14"/>
        <color theme="1"/>
        <rFont val="Calibri"/>
        <family val="2"/>
        <scheme val="minor"/>
      </rPr>
      <t>Ultima Protek</t>
    </r>
    <r>
      <rPr>
        <b/>
        <sz val="14"/>
        <color theme="1"/>
        <rFont val="Calibri"/>
        <family val="2"/>
        <scheme val="minor"/>
      </rPr>
      <t>" { East Side }</t>
    </r>
  </si>
  <si>
    <r>
      <t xml:space="preserve">1. NORTH Side Terrace </t>
    </r>
    <r>
      <rPr>
        <b/>
        <u/>
        <sz val="14"/>
        <rFont val="Calibri"/>
        <family val="2"/>
        <scheme val="minor"/>
      </rPr>
      <t>Parapet Wall</t>
    </r>
    <r>
      <rPr>
        <b/>
        <sz val="14"/>
        <rFont val="Calibri"/>
        <family val="2"/>
        <scheme val="minor"/>
      </rPr>
      <t xml:space="preserve"> :</t>
    </r>
  </si>
  <si>
    <t>Add East Side Parapet Wall Top Hor. Jamb</t>
  </si>
  <si>
    <t>Add Ver. Jamb No. 1 - Top Hor. Jamb</t>
  </si>
  <si>
    <t>Add Ver. Jamb No. 2 - Top Hor. Jamb</t>
  </si>
  <si>
    <t>Add Ver. Jamb No. 3 - Top Hor. Jamb</t>
  </si>
  <si>
    <r>
      <t xml:space="preserve">Add Ver. </t>
    </r>
    <r>
      <rPr>
        <b/>
        <sz val="14"/>
        <rFont val="Calibri"/>
        <family val="2"/>
        <scheme val="minor"/>
      </rPr>
      <t>Jamb No. 1</t>
    </r>
  </si>
  <si>
    <r>
      <t>Add Ver.</t>
    </r>
    <r>
      <rPr>
        <b/>
        <sz val="14"/>
        <rFont val="Calibri"/>
        <family val="2"/>
        <scheme val="minor"/>
      </rPr>
      <t xml:space="preserve"> Jamb No. 2</t>
    </r>
  </si>
  <si>
    <r>
      <t xml:space="preserve">Add Ver. </t>
    </r>
    <r>
      <rPr>
        <b/>
        <sz val="14"/>
        <rFont val="Calibri"/>
        <family val="2"/>
        <scheme val="minor"/>
      </rPr>
      <t>Jamb No. 3</t>
    </r>
  </si>
  <si>
    <r>
      <rPr>
        <b/>
        <sz val="14"/>
        <rFont val="Calibri"/>
        <family val="2"/>
        <scheme val="minor"/>
      </rPr>
      <t>Deduct -</t>
    </r>
    <r>
      <rPr>
        <sz val="14"/>
        <rFont val="Calibri"/>
        <family val="2"/>
        <scheme val="minor"/>
      </rPr>
      <t xml:space="preserve"> Parapet Wall</t>
    </r>
  </si>
  <si>
    <r>
      <rPr>
        <b/>
        <sz val="14"/>
        <rFont val="Calibri"/>
        <family val="2"/>
        <scheme val="minor"/>
      </rPr>
      <t>Deduct -</t>
    </r>
    <r>
      <rPr>
        <sz val="14"/>
        <rFont val="Calibri"/>
        <family val="2"/>
        <scheme val="minor"/>
      </rPr>
      <t xml:space="preserve"> Open Area</t>
    </r>
  </si>
  <si>
    <t xml:space="preserve">Add Ver. Jamb </t>
  </si>
  <si>
    <t xml:space="preserve">Add Hor. Jamb </t>
  </si>
  <si>
    <r>
      <rPr>
        <b/>
        <sz val="14"/>
        <rFont val="Calibri"/>
        <family val="2"/>
        <scheme val="minor"/>
      </rPr>
      <t>Deduct -</t>
    </r>
    <r>
      <rPr>
        <sz val="14"/>
        <rFont val="Calibri"/>
        <family val="2"/>
        <scheme val="minor"/>
      </rPr>
      <t xml:space="preserve"> Hor. Jamb</t>
    </r>
  </si>
  <si>
    <r>
      <rPr>
        <u/>
        <sz val="14"/>
        <rFont val="Calibri"/>
        <family val="2"/>
        <scheme val="minor"/>
      </rPr>
      <t>East</t>
    </r>
    <r>
      <rPr>
        <sz val="14"/>
        <rFont val="Calibri"/>
        <family val="2"/>
        <scheme val="minor"/>
      </rPr>
      <t xml:space="preserve"> Side Parapet Wall</t>
    </r>
  </si>
  <si>
    <r>
      <rPr>
        <u/>
        <sz val="14"/>
        <rFont val="Calibri"/>
        <family val="2"/>
        <scheme val="minor"/>
      </rPr>
      <t>South</t>
    </r>
    <r>
      <rPr>
        <sz val="14"/>
        <rFont val="Calibri"/>
        <family val="2"/>
        <scheme val="minor"/>
      </rPr>
      <t xml:space="preserve"> Side Water Tank  Wall</t>
    </r>
  </si>
  <si>
    <r>
      <rPr>
        <u/>
        <sz val="14"/>
        <rFont val="Calibri"/>
        <family val="2"/>
        <scheme val="minor"/>
      </rPr>
      <t>West</t>
    </r>
    <r>
      <rPr>
        <sz val="14"/>
        <rFont val="Calibri"/>
        <family val="2"/>
        <scheme val="minor"/>
      </rPr>
      <t xml:space="preserve"> Side 'Lift &amp; Electric Duct' Wall</t>
    </r>
  </si>
  <si>
    <r>
      <rPr>
        <u/>
        <sz val="14"/>
        <rFont val="Calibri"/>
        <family val="2"/>
        <scheme val="minor"/>
      </rPr>
      <t>South</t>
    </r>
    <r>
      <rPr>
        <sz val="14"/>
        <rFont val="Calibri"/>
        <family val="2"/>
        <scheme val="minor"/>
      </rPr>
      <t xml:space="preserve"> Side 'W.T, Ele. Duct, Vent. Duct' Wall</t>
    </r>
  </si>
  <si>
    <t>Add Duct Parapet Wall Top Hor. Jamb</t>
  </si>
  <si>
    <r>
      <t xml:space="preserve">Add Duct Parapet Wall Top Hor. Jamb </t>
    </r>
    <r>
      <rPr>
        <b/>
        <sz val="14"/>
        <rFont val="Calibri"/>
        <family val="2"/>
        <scheme val="minor"/>
      </rPr>
      <t>E-W</t>
    </r>
  </si>
  <si>
    <r>
      <t xml:space="preserve">Ventilation Duct </t>
    </r>
    <r>
      <rPr>
        <b/>
        <sz val="14"/>
        <rFont val="Calibri"/>
        <family val="2"/>
        <scheme val="minor"/>
      </rPr>
      <t>N-S</t>
    </r>
    <r>
      <rPr>
        <sz val="14"/>
        <rFont val="Calibri"/>
        <family val="2"/>
        <scheme val="minor"/>
      </rPr>
      <t xml:space="preserve"> Dire. Parapet Wall</t>
    </r>
  </si>
  <si>
    <r>
      <t xml:space="preserve">Deduct - </t>
    </r>
    <r>
      <rPr>
        <sz val="14"/>
        <rFont val="Calibri"/>
        <family val="2"/>
        <scheme val="minor"/>
      </rPr>
      <t>Door</t>
    </r>
  </si>
  <si>
    <t>Add Door Ver. Jamb</t>
  </si>
  <si>
    <t>Add Door Hor. Jamb</t>
  </si>
  <si>
    <r>
      <rPr>
        <u/>
        <sz val="14"/>
        <rFont val="Calibri"/>
        <family val="2"/>
        <scheme val="minor"/>
      </rPr>
      <t>East</t>
    </r>
    <r>
      <rPr>
        <sz val="14"/>
        <rFont val="Calibri"/>
        <family val="2"/>
        <scheme val="minor"/>
      </rPr>
      <t xml:space="preserve"> Side 'Lift &amp; Electricity Duct' Wall</t>
    </r>
  </si>
  <si>
    <t>Add Door Top Chajja Hor. Jamb</t>
  </si>
  <si>
    <r>
      <rPr>
        <u/>
        <sz val="14"/>
        <rFont val="Calibri"/>
        <family val="2"/>
        <scheme val="minor"/>
      </rPr>
      <t>South</t>
    </r>
    <r>
      <rPr>
        <sz val="14"/>
        <rFont val="Calibri"/>
        <family val="2"/>
        <scheme val="minor"/>
      </rPr>
      <t xml:space="preserve"> Side Lift Duct Wall</t>
    </r>
  </si>
  <si>
    <t>Add Hor. Jamb</t>
  </si>
  <si>
    <r>
      <rPr>
        <u/>
        <sz val="14"/>
        <rFont val="Calibri"/>
        <family val="2"/>
        <scheme val="minor"/>
      </rPr>
      <t>West</t>
    </r>
    <r>
      <rPr>
        <sz val="14"/>
        <rFont val="Calibri"/>
        <family val="2"/>
        <scheme val="minor"/>
      </rPr>
      <t xml:space="preserve"> Side Parapet Wall</t>
    </r>
  </si>
  <si>
    <t>Add West Side Parapet Wall Top Hor. Jamb</t>
  </si>
  <si>
    <r>
      <t>Summary :- Parapet Wall "</t>
    </r>
    <r>
      <rPr>
        <b/>
        <u/>
        <sz val="14"/>
        <color theme="1"/>
        <rFont val="Calibri"/>
        <family val="2"/>
        <scheme val="minor"/>
      </rPr>
      <t>Ultima Protek</t>
    </r>
    <r>
      <rPr>
        <b/>
        <sz val="14"/>
        <color theme="1"/>
        <rFont val="Calibri"/>
        <family val="2"/>
        <scheme val="minor"/>
      </rPr>
      <t xml:space="preserve">" { North Terrace } </t>
    </r>
  </si>
  <si>
    <r>
      <rPr>
        <u/>
        <sz val="14"/>
        <rFont val="Calibri"/>
        <family val="2"/>
        <scheme val="minor"/>
      </rPr>
      <t>North</t>
    </r>
    <r>
      <rPr>
        <sz val="14"/>
        <rFont val="Calibri"/>
        <family val="2"/>
        <scheme val="minor"/>
      </rPr>
      <t xml:space="preserve"> Side Parapet Wall</t>
    </r>
  </si>
  <si>
    <r>
      <rPr>
        <b/>
        <sz val="14"/>
        <rFont val="Calibri"/>
        <family val="2"/>
        <scheme val="minor"/>
      </rPr>
      <t>Deduct -</t>
    </r>
    <r>
      <rPr>
        <sz val="14"/>
        <rFont val="Calibri"/>
        <family val="2"/>
        <scheme val="minor"/>
      </rPr>
      <t xml:space="preserve"> Height</t>
    </r>
  </si>
  <si>
    <t>Add North Side Parapet Wall Top Hor. Jamb 1</t>
  </si>
  <si>
    <t>Add North Side Parapet Wall Top Hor. Jamb 2</t>
  </si>
  <si>
    <r>
      <t xml:space="preserve">Add Ver. </t>
    </r>
    <r>
      <rPr>
        <b/>
        <sz val="14"/>
        <rFont val="Calibri"/>
        <family val="2"/>
        <scheme val="minor"/>
      </rPr>
      <t>Jamb No. 2</t>
    </r>
  </si>
  <si>
    <r>
      <t>Summary :- Parapet Wall "</t>
    </r>
    <r>
      <rPr>
        <b/>
        <u/>
        <sz val="14"/>
        <color theme="1"/>
        <rFont val="Calibri"/>
        <family val="2"/>
        <scheme val="minor"/>
      </rPr>
      <t>Ultima Protek</t>
    </r>
    <r>
      <rPr>
        <b/>
        <sz val="14"/>
        <color theme="1"/>
        <rFont val="Calibri"/>
        <family val="2"/>
        <scheme val="minor"/>
      </rPr>
      <t xml:space="preserve">" { South Terrace } </t>
    </r>
  </si>
  <si>
    <r>
      <t xml:space="preserve">2. SOUTH Side Terrace </t>
    </r>
    <r>
      <rPr>
        <b/>
        <u/>
        <sz val="14"/>
        <rFont val="Calibri"/>
        <family val="2"/>
        <scheme val="minor"/>
      </rPr>
      <t>Parapet Wall</t>
    </r>
    <r>
      <rPr>
        <b/>
        <sz val="14"/>
        <rFont val="Calibri"/>
        <family val="2"/>
        <scheme val="minor"/>
      </rPr>
      <t xml:space="preserve"> :</t>
    </r>
  </si>
  <si>
    <r>
      <rPr>
        <u/>
        <sz val="14"/>
        <color theme="1"/>
        <rFont val="Calibri"/>
        <family val="2"/>
        <scheme val="minor"/>
      </rPr>
      <t>North</t>
    </r>
    <r>
      <rPr>
        <sz val="14"/>
        <color theme="1"/>
        <rFont val="Calibri"/>
        <family val="2"/>
        <scheme val="minor"/>
      </rPr>
      <t xml:space="preserve"> Side 'Water Tank' Wall</t>
    </r>
  </si>
  <si>
    <r>
      <rPr>
        <b/>
        <sz val="14"/>
        <color theme="1"/>
        <rFont val="Calibri"/>
        <family val="2"/>
        <scheme val="minor"/>
      </rPr>
      <t>Deduct -</t>
    </r>
    <r>
      <rPr>
        <sz val="14"/>
        <color theme="1"/>
        <rFont val="Calibri"/>
        <family val="2"/>
        <scheme val="minor"/>
      </rPr>
      <t xml:space="preserve"> Open Area</t>
    </r>
  </si>
  <si>
    <r>
      <rPr>
        <b/>
        <sz val="14"/>
        <color theme="1"/>
        <rFont val="Calibri"/>
        <family val="2"/>
        <scheme val="minor"/>
      </rPr>
      <t>Deduct -</t>
    </r>
    <r>
      <rPr>
        <sz val="14"/>
        <color theme="1"/>
        <rFont val="Calibri"/>
        <family val="2"/>
        <scheme val="minor"/>
      </rPr>
      <t xml:space="preserve"> Parapet Wall</t>
    </r>
  </si>
  <si>
    <r>
      <rPr>
        <u/>
        <sz val="14"/>
        <color theme="1"/>
        <rFont val="Calibri"/>
        <family val="2"/>
        <scheme val="minor"/>
      </rPr>
      <t>West</t>
    </r>
    <r>
      <rPr>
        <sz val="14"/>
        <color theme="1"/>
        <rFont val="Calibri"/>
        <family val="2"/>
        <scheme val="minor"/>
      </rPr>
      <t xml:space="preserve"> Side Staircase Wall</t>
    </r>
  </si>
  <si>
    <r>
      <t xml:space="preserve">Deduct - </t>
    </r>
    <r>
      <rPr>
        <sz val="14"/>
        <color theme="1"/>
        <rFont val="Calibri"/>
        <family val="2"/>
        <scheme val="minor"/>
      </rPr>
      <t>Hor. Jamb</t>
    </r>
  </si>
  <si>
    <r>
      <rPr>
        <u/>
        <sz val="14"/>
        <color theme="1"/>
        <rFont val="Calibri"/>
        <family val="2"/>
        <scheme val="minor"/>
      </rPr>
      <t>East</t>
    </r>
    <r>
      <rPr>
        <sz val="14"/>
        <color theme="1"/>
        <rFont val="Calibri"/>
        <family val="2"/>
        <scheme val="minor"/>
      </rPr>
      <t xml:space="preserve"> Side Parapet Wall</t>
    </r>
  </si>
  <si>
    <t>Add Top Hor. Jamb</t>
  </si>
  <si>
    <r>
      <rPr>
        <u/>
        <sz val="14"/>
        <color theme="1"/>
        <rFont val="Calibri"/>
        <family val="2"/>
        <scheme val="minor"/>
      </rPr>
      <t>South</t>
    </r>
    <r>
      <rPr>
        <sz val="14"/>
        <color theme="1"/>
        <rFont val="Calibri"/>
        <family val="2"/>
        <scheme val="minor"/>
      </rPr>
      <t xml:space="preserve"> Side Parapet Wall</t>
    </r>
  </si>
  <si>
    <t>Add South Side Parapet Wall Top Hor. Jamb</t>
  </si>
  <si>
    <r>
      <t xml:space="preserve">Add Ver. </t>
    </r>
    <r>
      <rPr>
        <b/>
        <sz val="14"/>
        <rFont val="Calibri"/>
        <family val="2"/>
        <scheme val="minor"/>
      </rPr>
      <t>Jamb No. 4</t>
    </r>
  </si>
  <si>
    <t>Add Ver. Jamb No. 4 - Top Hor. Jamb</t>
  </si>
  <si>
    <r>
      <rPr>
        <u/>
        <sz val="14"/>
        <color theme="1"/>
        <rFont val="Calibri"/>
        <family val="2"/>
        <scheme val="minor"/>
      </rPr>
      <t>West</t>
    </r>
    <r>
      <rPr>
        <sz val="14"/>
        <color theme="1"/>
        <rFont val="Calibri"/>
        <family val="2"/>
        <scheme val="minor"/>
      </rPr>
      <t xml:space="preserve"> Side Parapet Wall</t>
    </r>
  </si>
  <si>
    <t>Add Square Jamb</t>
  </si>
  <si>
    <r>
      <rPr>
        <u/>
        <sz val="14"/>
        <rFont val="Calibri"/>
        <family val="2"/>
        <scheme val="minor"/>
      </rPr>
      <t>North</t>
    </r>
    <r>
      <rPr>
        <sz val="14"/>
        <rFont val="Calibri"/>
        <family val="2"/>
        <scheme val="minor"/>
      </rPr>
      <t xml:space="preserve"> Side Lift Duct Wall</t>
    </r>
  </si>
  <si>
    <r>
      <rPr>
        <b/>
        <sz val="14"/>
        <rFont val="Calibri"/>
        <family val="2"/>
        <scheme val="minor"/>
      </rPr>
      <t>Deduct -</t>
    </r>
    <r>
      <rPr>
        <sz val="14"/>
        <rFont val="Calibri"/>
        <family val="2"/>
        <scheme val="minor"/>
      </rPr>
      <t xml:space="preserve"> Door</t>
    </r>
  </si>
  <si>
    <t>Add Door Chajja Top &amp; Bottom Jamb</t>
  </si>
  <si>
    <r>
      <rPr>
        <u/>
        <sz val="14"/>
        <color theme="1"/>
        <rFont val="Calibri"/>
        <family val="2"/>
        <scheme val="minor"/>
      </rPr>
      <t>East</t>
    </r>
    <r>
      <rPr>
        <sz val="14"/>
        <color theme="1"/>
        <rFont val="Calibri"/>
        <family val="2"/>
        <scheme val="minor"/>
      </rPr>
      <t xml:space="preserve"> Side Staircase Wall</t>
    </r>
  </si>
  <si>
    <r>
      <rPr>
        <u/>
        <sz val="14"/>
        <rFont val="Calibri"/>
        <family val="2"/>
        <scheme val="minor"/>
      </rPr>
      <t>North</t>
    </r>
    <r>
      <rPr>
        <sz val="14"/>
        <rFont val="Calibri"/>
        <family val="2"/>
        <scheme val="minor"/>
      </rPr>
      <t xml:space="preserve"> Side 'W.T, Staircase, Vent. Duct' Wall</t>
    </r>
  </si>
  <si>
    <t>Site Name :- ABH TREELAND "G" WING</t>
  </si>
  <si>
    <r>
      <t>Summary :- Top Hor. &amp; Int. Ver. Jambs (W.T, Staircase, Lift Tower Duct) "</t>
    </r>
    <r>
      <rPr>
        <b/>
        <u/>
        <sz val="14"/>
        <color theme="1"/>
        <rFont val="Calibri"/>
        <family val="2"/>
        <scheme val="minor"/>
      </rPr>
      <t>Ultima Protek</t>
    </r>
    <r>
      <rPr>
        <b/>
        <sz val="14"/>
        <color theme="1"/>
        <rFont val="Calibri"/>
        <family val="2"/>
        <scheme val="minor"/>
      </rPr>
      <t xml:space="preserve">" </t>
    </r>
  </si>
  <si>
    <t>Water Tank Wall</t>
  </si>
  <si>
    <r>
      <t xml:space="preserve">Top Hor. Jamb </t>
    </r>
    <r>
      <rPr>
        <b/>
        <sz val="14"/>
        <rFont val="Calibri"/>
        <family val="2"/>
        <scheme val="minor"/>
      </rPr>
      <t>E-W</t>
    </r>
    <r>
      <rPr>
        <sz val="14"/>
        <rFont val="Calibri"/>
        <family val="2"/>
        <scheme val="minor"/>
      </rPr>
      <t xml:space="preserve"> Dire.</t>
    </r>
  </si>
  <si>
    <r>
      <t xml:space="preserve">Top Hor. Jamb Mid </t>
    </r>
    <r>
      <rPr>
        <b/>
        <sz val="14"/>
        <rFont val="Calibri"/>
        <family val="2"/>
        <scheme val="minor"/>
      </rPr>
      <t>N-S</t>
    </r>
    <r>
      <rPr>
        <sz val="14"/>
        <rFont val="Calibri"/>
        <family val="2"/>
        <scheme val="minor"/>
      </rPr>
      <t xml:space="preserve"> Dire.</t>
    </r>
  </si>
  <si>
    <r>
      <t xml:space="preserve">Internal Ver. Jamb </t>
    </r>
    <r>
      <rPr>
        <b/>
        <sz val="14"/>
        <rFont val="Calibri"/>
        <family val="2"/>
        <scheme val="minor"/>
      </rPr>
      <t>E-W</t>
    </r>
    <r>
      <rPr>
        <sz val="14"/>
        <rFont val="Calibri"/>
        <family val="2"/>
        <scheme val="minor"/>
      </rPr>
      <t xml:space="preserve"> Dire.</t>
    </r>
  </si>
  <si>
    <r>
      <t xml:space="preserve">Internal Ver. Jamb </t>
    </r>
    <r>
      <rPr>
        <b/>
        <sz val="14"/>
        <rFont val="Calibri"/>
        <family val="2"/>
        <scheme val="minor"/>
      </rPr>
      <t>N-S</t>
    </r>
    <r>
      <rPr>
        <sz val="14"/>
        <rFont val="Calibri"/>
        <family val="2"/>
        <scheme val="minor"/>
      </rPr>
      <t xml:space="preserve"> Dire.</t>
    </r>
  </si>
  <si>
    <r>
      <t xml:space="preserve">Top Hor. Jamb </t>
    </r>
    <r>
      <rPr>
        <b/>
        <sz val="14"/>
        <rFont val="Calibri"/>
        <family val="2"/>
        <scheme val="minor"/>
      </rPr>
      <t xml:space="preserve">N-S </t>
    </r>
    <r>
      <rPr>
        <sz val="14"/>
        <rFont val="Calibri"/>
        <family val="2"/>
        <scheme val="minor"/>
      </rPr>
      <t>Dire.</t>
    </r>
  </si>
  <si>
    <r>
      <t xml:space="preserve">East W.T Zakan Box Top Hor. Jamb </t>
    </r>
    <r>
      <rPr>
        <b/>
        <sz val="14"/>
        <rFont val="Calibri"/>
        <family val="2"/>
        <scheme val="minor"/>
      </rPr>
      <t>E-W</t>
    </r>
    <r>
      <rPr>
        <sz val="14"/>
        <rFont val="Calibri"/>
        <family val="2"/>
        <scheme val="minor"/>
      </rPr>
      <t xml:space="preserve"> Dire.</t>
    </r>
  </si>
  <si>
    <r>
      <t xml:space="preserve">East W.T Zakan Box Top Hor. Jamb </t>
    </r>
    <r>
      <rPr>
        <b/>
        <sz val="14"/>
        <rFont val="Calibri"/>
        <family val="2"/>
        <scheme val="minor"/>
      </rPr>
      <t>N-S</t>
    </r>
    <r>
      <rPr>
        <sz val="14"/>
        <rFont val="Calibri"/>
        <family val="2"/>
        <scheme val="minor"/>
      </rPr>
      <t xml:space="preserve"> Dire.</t>
    </r>
  </si>
  <si>
    <r>
      <t xml:space="preserve">West W.T Zakan Box Top Hor. Jamb </t>
    </r>
    <r>
      <rPr>
        <b/>
        <sz val="14"/>
        <rFont val="Calibri"/>
        <family val="2"/>
        <scheme val="minor"/>
      </rPr>
      <t>E-W</t>
    </r>
    <r>
      <rPr>
        <sz val="14"/>
        <rFont val="Calibri"/>
        <family val="2"/>
        <scheme val="minor"/>
      </rPr>
      <t xml:space="preserve"> Dire.</t>
    </r>
  </si>
  <si>
    <r>
      <t xml:space="preserve">West W.T Zakan Box Top Hor. Jamb </t>
    </r>
    <r>
      <rPr>
        <b/>
        <sz val="14"/>
        <rFont val="Calibri"/>
        <family val="2"/>
        <scheme val="minor"/>
      </rPr>
      <t>N-S</t>
    </r>
    <r>
      <rPr>
        <sz val="14"/>
        <rFont val="Calibri"/>
        <family val="2"/>
        <scheme val="minor"/>
      </rPr>
      <t xml:space="preserve"> Dire.</t>
    </r>
  </si>
  <si>
    <r>
      <t xml:space="preserve">East W.T Zakan Box Ext. Ver. Jamb </t>
    </r>
    <r>
      <rPr>
        <b/>
        <sz val="14"/>
        <rFont val="Calibri"/>
        <family val="2"/>
        <scheme val="minor"/>
      </rPr>
      <t>E-W</t>
    </r>
    <r>
      <rPr>
        <sz val="14"/>
        <rFont val="Calibri"/>
        <family val="2"/>
        <scheme val="minor"/>
      </rPr>
      <t xml:space="preserve"> Dire.</t>
    </r>
  </si>
  <si>
    <r>
      <t xml:space="preserve">East W.T Zakan Box Ext. Ver. Jamb </t>
    </r>
    <r>
      <rPr>
        <b/>
        <sz val="14"/>
        <rFont val="Calibri"/>
        <family val="2"/>
        <scheme val="minor"/>
      </rPr>
      <t>N-S</t>
    </r>
    <r>
      <rPr>
        <sz val="14"/>
        <rFont val="Calibri"/>
        <family val="2"/>
        <scheme val="minor"/>
      </rPr>
      <t xml:space="preserve"> Dire.</t>
    </r>
  </si>
  <si>
    <r>
      <t xml:space="preserve">West W.T Zakan Box Ext. Ver. Jamb </t>
    </r>
    <r>
      <rPr>
        <b/>
        <sz val="14"/>
        <rFont val="Calibri"/>
        <family val="2"/>
        <scheme val="minor"/>
      </rPr>
      <t>E-W</t>
    </r>
    <r>
      <rPr>
        <sz val="14"/>
        <rFont val="Calibri"/>
        <family val="2"/>
        <scheme val="minor"/>
      </rPr>
      <t xml:space="preserve"> Dire.</t>
    </r>
  </si>
  <si>
    <r>
      <t xml:space="preserve">West W.T Zakan Box Ext. Ver. Jamb </t>
    </r>
    <r>
      <rPr>
        <b/>
        <sz val="14"/>
        <rFont val="Calibri"/>
        <family val="2"/>
        <scheme val="minor"/>
      </rPr>
      <t>N-S</t>
    </r>
    <r>
      <rPr>
        <sz val="14"/>
        <rFont val="Calibri"/>
        <family val="2"/>
        <scheme val="minor"/>
      </rPr>
      <t xml:space="preserve"> Dire.</t>
    </r>
  </si>
  <si>
    <t>Staircase Wall</t>
  </si>
  <si>
    <r>
      <t xml:space="preserve">Internal Ver. Jamb </t>
    </r>
    <r>
      <rPr>
        <b/>
        <sz val="14"/>
        <color theme="1"/>
        <rFont val="Calibri"/>
        <family val="2"/>
        <scheme val="minor"/>
      </rPr>
      <t>N-S</t>
    </r>
    <r>
      <rPr>
        <sz val="14"/>
        <color theme="1"/>
        <rFont val="Calibri"/>
        <family val="2"/>
        <scheme val="minor"/>
      </rPr>
      <t xml:space="preserve"> Dire.</t>
    </r>
  </si>
  <si>
    <r>
      <t xml:space="preserve">Internal Ver. Jamb </t>
    </r>
    <r>
      <rPr>
        <b/>
        <sz val="14"/>
        <color theme="1"/>
        <rFont val="Calibri"/>
        <family val="2"/>
        <scheme val="minor"/>
      </rPr>
      <t>E-W</t>
    </r>
    <r>
      <rPr>
        <sz val="14"/>
        <color theme="1"/>
        <rFont val="Calibri"/>
        <family val="2"/>
        <scheme val="minor"/>
      </rPr>
      <t xml:space="preserve"> Dire.</t>
    </r>
  </si>
  <si>
    <t>Lift Duct Wall</t>
  </si>
  <si>
    <t>Summary :- Parapet Wall PVC Pipes { North Terrace }</t>
  </si>
  <si>
    <r>
      <t xml:space="preserve">PVC Pipe 1 </t>
    </r>
    <r>
      <rPr>
        <sz val="14"/>
        <color theme="1"/>
        <rFont val="Calibri"/>
        <family val="2"/>
        <scheme val="minor"/>
      </rPr>
      <t>(W.T+Lift,Ele. Duct+Parapet Wall)</t>
    </r>
  </si>
  <si>
    <r>
      <t xml:space="preserve">PVC Pipe 2 </t>
    </r>
    <r>
      <rPr>
        <sz val="14"/>
        <color theme="1"/>
        <rFont val="Calibri"/>
        <family val="2"/>
        <scheme val="minor"/>
      </rPr>
      <t>(W.T+Lift,Ele. Duct+Parapet Wall)</t>
    </r>
  </si>
  <si>
    <r>
      <t>(</t>
    </r>
    <r>
      <rPr>
        <b/>
        <sz val="14"/>
        <color theme="1"/>
        <rFont val="Calibri"/>
        <family val="2"/>
        <scheme val="minor"/>
      </rPr>
      <t xml:space="preserve"> H :</t>
    </r>
    <r>
      <rPr>
        <sz val="14"/>
        <color theme="1"/>
        <rFont val="Calibri"/>
        <family val="2"/>
        <scheme val="minor"/>
      </rPr>
      <t xml:space="preserve"> 5.250 + 20.900 = 26.150 m ) </t>
    </r>
    <r>
      <rPr>
        <b/>
        <sz val="14"/>
        <color theme="1"/>
        <rFont val="Calibri"/>
        <family val="2"/>
        <scheme val="minor"/>
      </rPr>
      <t>E-W</t>
    </r>
    <r>
      <rPr>
        <sz val="14"/>
        <color theme="1"/>
        <rFont val="Calibri"/>
        <family val="2"/>
        <scheme val="minor"/>
      </rPr>
      <t xml:space="preserve"> Dire.</t>
    </r>
  </si>
  <si>
    <r>
      <t>(</t>
    </r>
    <r>
      <rPr>
        <b/>
        <sz val="14"/>
        <color theme="1"/>
        <rFont val="Calibri"/>
        <family val="2"/>
        <scheme val="minor"/>
      </rPr>
      <t xml:space="preserve"> H :</t>
    </r>
    <r>
      <rPr>
        <sz val="14"/>
        <color theme="1"/>
        <rFont val="Calibri"/>
        <family val="2"/>
        <scheme val="minor"/>
      </rPr>
      <t xml:space="preserve"> 3.720 + 4.930 = 8.650 m ) </t>
    </r>
    <r>
      <rPr>
        <b/>
        <sz val="14"/>
        <color theme="1"/>
        <rFont val="Calibri"/>
        <family val="2"/>
        <scheme val="minor"/>
      </rPr>
      <t>E-W</t>
    </r>
    <r>
      <rPr>
        <sz val="14"/>
        <color theme="1"/>
        <rFont val="Calibri"/>
        <family val="2"/>
        <scheme val="minor"/>
      </rPr>
      <t xml:space="preserve"> Dire.</t>
    </r>
  </si>
  <si>
    <r>
      <t xml:space="preserve">PVC Pipe 3 </t>
    </r>
    <r>
      <rPr>
        <sz val="14"/>
        <color theme="1"/>
        <rFont val="Calibri"/>
        <family val="2"/>
        <scheme val="minor"/>
      </rPr>
      <t>(Parapet Wall + Lift,Ele. Duct Wall)</t>
    </r>
  </si>
  <si>
    <r>
      <t xml:space="preserve">Duct Parapet Wall </t>
    </r>
    <r>
      <rPr>
        <b/>
        <u/>
        <sz val="14"/>
        <color theme="1"/>
        <rFont val="Calibri"/>
        <family val="2"/>
        <scheme val="minor"/>
      </rPr>
      <t>C Shape</t>
    </r>
    <r>
      <rPr>
        <b/>
        <sz val="14"/>
        <color theme="1"/>
        <rFont val="Calibri"/>
        <family val="2"/>
        <scheme val="minor"/>
      </rPr>
      <t xml:space="preserve"> PVC Pipes :</t>
    </r>
  </si>
  <si>
    <t>PVC Pipe No. 1 ( East &amp; West Wall )</t>
  </si>
  <si>
    <t>PVC Pipe No. 2 ( East &amp; West Wall )</t>
  </si>
  <si>
    <r>
      <t xml:space="preserve">PVC Pipe 4 </t>
    </r>
    <r>
      <rPr>
        <sz val="14"/>
        <color theme="1"/>
        <rFont val="Calibri"/>
        <family val="2"/>
        <scheme val="minor"/>
      </rPr>
      <t>(Parapet Wall + Lift,Ele. Duct Wall)</t>
    </r>
  </si>
  <si>
    <t>Ver. PVC Pipe Duct Parapet Wall : (West Side)</t>
  </si>
  <si>
    <t xml:space="preserve">PVC Pipe No. 1 </t>
  </si>
  <si>
    <t xml:space="preserve">PVC Pipe No. 2 </t>
  </si>
  <si>
    <t>Terrace Slab Bot. PVC Pipe : ( East Side )</t>
  </si>
  <si>
    <t>Terrace Slab Bot. PVC Pipe : ( West Side )</t>
  </si>
  <si>
    <t>Add Ver. Pipe - Duct Parapet Wall :</t>
  </si>
  <si>
    <t xml:space="preserve">Add Ver. PVC Pipe ( East &amp; West ) : </t>
  </si>
  <si>
    <t>Add Duct Int. Hor. Pipe :</t>
  </si>
  <si>
    <t>Add PVC Pipe Holding Clamp :</t>
  </si>
  <si>
    <t>Clamp No. 1</t>
  </si>
  <si>
    <t>Clamp No. 2</t>
  </si>
  <si>
    <t>Clamp No. 3</t>
  </si>
  <si>
    <t>x</t>
  </si>
  <si>
    <t xml:space="preserve">        Parapet Wall PVC Pipes Final Quantity :</t>
  </si>
  <si>
    <t>Parapet Wall PVC Pipes Final Quantity ( North &amp; South Terr.) :</t>
  </si>
  <si>
    <t>S - DUCT</t>
  </si>
  <si>
    <t>Additional PVC Pipes South Terr. Parapet Wall</t>
  </si>
  <si>
    <t>Parapet Wall PVC Pipes { North Terrace }</t>
  </si>
  <si>
    <t>Refuge Wall Top PVC Pipes</t>
  </si>
  <si>
    <t>Add Ver. PVC Pipe Staircase Duct Wall</t>
  </si>
  <si>
    <t>Cock Pipe</t>
  </si>
  <si>
    <t>Terrace PVC Pipes Final Quantity N-S Terr. (55.5942 + 1.2966) :</t>
  </si>
  <si>
    <t>Summary :- Zinc Primer + Auto Paint</t>
  </si>
  <si>
    <t>Lift &amp; Electric Duct Wall</t>
  </si>
  <si>
    <t>W.T Ladder In (RMT)</t>
  </si>
  <si>
    <t>Lift Duct Ladder In (RMT)</t>
  </si>
  <si>
    <t>Joint Angle</t>
  </si>
  <si>
    <t>Joint Support Angle</t>
  </si>
  <si>
    <t>W.T Zakan Ring</t>
  </si>
  <si>
    <t>W.T Ladder In (SQM)</t>
  </si>
  <si>
    <t>Lift Duct Ladder In (SQM)</t>
  </si>
  <si>
    <t>W.T Zakan In (SQM) (3 x 2)</t>
  </si>
  <si>
    <t>RMT</t>
  </si>
  <si>
    <t>Refuge Railing :</t>
  </si>
  <si>
    <t>"Ultima Protek" - External Wall</t>
  </si>
  <si>
    <t>"Ultima Protek" - Parapet Wall</t>
  </si>
  <si>
    <t>"Ultima Protek" - PVC Pipes</t>
  </si>
  <si>
    <t>Auto Paint (RMT)</t>
  </si>
  <si>
    <t>Auto Paint (SQM)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</si>
</sst>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u/>
      <sz val="14"/>
      <name val="Calibri"/>
      <family val="2"/>
      <scheme val="minor"/>
    </font>
    <font>
      <u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57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4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2" fillId="0" borderId="9" xfId="1" applyFont="1" applyBorder="1">
      <alignment vertical="center"/>
    </xf>
    <xf numFmtId="0" fontId="4" fillId="0" borderId="9" xfId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9" xfId="1" applyFont="1" applyBorder="1">
      <alignment vertical="center"/>
    </xf>
    <xf numFmtId="0" fontId="5" fillId="0" borderId="9" xfId="1" applyFont="1" applyBorder="1">
      <alignment vertical="center"/>
    </xf>
    <xf numFmtId="0" fontId="4" fillId="0" borderId="9" xfId="1" applyFont="1" applyBorder="1">
      <alignment vertical="center"/>
    </xf>
    <xf numFmtId="0" fontId="3" fillId="0" borderId="9" xfId="0" applyFont="1" applyBorder="1" applyAlignment="1">
      <alignment vertical="center"/>
    </xf>
    <xf numFmtId="0" fontId="4" fillId="3" borderId="9" xfId="0" applyFont="1" applyFill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5" fillId="0" borderId="9" xfId="1" applyFont="1" applyBorder="1" applyAlignment="1">
      <alignment horizontal="left" vertical="center"/>
    </xf>
    <xf numFmtId="0" fontId="4" fillId="0" borderId="9" xfId="1" applyFont="1" applyBorder="1" applyAlignment="1">
      <alignment horizontal="left" vertical="center"/>
    </xf>
    <xf numFmtId="0" fontId="4" fillId="0" borderId="9" xfId="1" applyFont="1" applyBorder="1" applyAlignment="1">
      <alignment horizontal="left" vertical="center" wrapText="1"/>
    </xf>
    <xf numFmtId="0" fontId="5" fillId="0" borderId="9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5" fillId="3" borderId="9" xfId="0" applyFont="1" applyFill="1" applyBorder="1" applyAlignment="1">
      <alignment horizontal="left" vertical="center"/>
    </xf>
    <xf numFmtId="0" fontId="2" fillId="4" borderId="9" xfId="1" applyFont="1" applyFill="1" applyBorder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5" borderId="9" xfId="1" applyFont="1" applyFill="1" applyBorder="1">
      <alignment vertical="center"/>
    </xf>
    <xf numFmtId="0" fontId="4" fillId="3" borderId="9" xfId="1" applyFont="1" applyFill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2" fillId="5" borderId="14" xfId="1" applyFont="1" applyFill="1" applyBorder="1">
      <alignment vertical="center"/>
    </xf>
    <xf numFmtId="0" fontId="2" fillId="6" borderId="15" xfId="0" applyFont="1" applyFill="1" applyBorder="1" applyAlignment="1">
      <alignment vertical="center"/>
    </xf>
    <xf numFmtId="0" fontId="4" fillId="0" borderId="10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5" fillId="7" borderId="17" xfId="1" applyFont="1" applyFill="1" applyBorder="1" applyAlignment="1">
      <alignment horizontal="center" vertical="center"/>
    </xf>
    <xf numFmtId="0" fontId="5" fillId="7" borderId="13" xfId="1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3" fillId="5" borderId="9" xfId="1" applyFont="1" applyFill="1" applyBorder="1">
      <alignment vertical="center"/>
    </xf>
    <xf numFmtId="0" fontId="3" fillId="0" borderId="16" xfId="0" applyFont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4" xfId="1" applyFont="1" applyBorder="1" applyAlignment="1">
      <alignment horizontal="left" vertical="center"/>
    </xf>
    <xf numFmtId="0" fontId="5" fillId="6" borderId="15" xfId="1" applyFont="1" applyFill="1" applyBorder="1" applyAlignment="1">
      <alignment horizontal="left" vertical="center"/>
    </xf>
    <xf numFmtId="0" fontId="4" fillId="5" borderId="14" xfId="1" applyFont="1" applyFill="1" applyBorder="1" applyAlignment="1">
      <alignment horizontal="left" vertical="center"/>
    </xf>
    <xf numFmtId="0" fontId="4" fillId="5" borderId="9" xfId="1" applyFont="1" applyFill="1" applyBorder="1" applyAlignment="1">
      <alignment horizontal="left" vertical="center"/>
    </xf>
    <xf numFmtId="0" fontId="4" fillId="3" borderId="9" xfId="1" applyFont="1" applyFill="1" applyBorder="1">
      <alignment vertical="center"/>
    </xf>
    <xf numFmtId="0" fontId="2" fillId="0" borderId="9" xfId="0" applyFont="1" applyBorder="1" applyAlignment="1">
      <alignment horizontal="left" vertical="center"/>
    </xf>
    <xf numFmtId="0" fontId="5" fillId="5" borderId="15" xfId="1" applyFont="1" applyFill="1" applyBorder="1" applyAlignment="1">
      <alignment horizontal="left" vertical="center"/>
    </xf>
    <xf numFmtId="0" fontId="3" fillId="8" borderId="9" xfId="1" applyFont="1" applyFill="1" applyBorder="1">
      <alignment vertical="center"/>
    </xf>
    <xf numFmtId="0" fontId="4" fillId="8" borderId="9" xfId="1" applyFont="1" applyFill="1" applyBorder="1">
      <alignment vertical="center"/>
    </xf>
    <xf numFmtId="0" fontId="4" fillId="8" borderId="9" xfId="1" applyFont="1" applyFill="1" applyBorder="1" applyAlignment="1">
      <alignment horizontal="left" vertical="center"/>
    </xf>
    <xf numFmtId="0" fontId="3" fillId="8" borderId="0" xfId="0" applyFont="1" applyFill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3" fillId="0" borderId="14" xfId="1" applyFont="1" applyBorder="1">
      <alignment vertical="center"/>
    </xf>
    <xf numFmtId="0" fontId="2" fillId="5" borderId="15" xfId="1" applyFont="1" applyFill="1" applyBorder="1">
      <alignment vertical="center"/>
    </xf>
    <xf numFmtId="0" fontId="2" fillId="0" borderId="1" xfId="1" applyFont="1" applyBorder="1">
      <alignment vertical="center"/>
    </xf>
    <xf numFmtId="0" fontId="3" fillId="0" borderId="6" xfId="1" applyFont="1" applyBorder="1">
      <alignment vertical="center"/>
    </xf>
    <xf numFmtId="0" fontId="4" fillId="0" borderId="3" xfId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4" xfId="1" applyFont="1" applyBorder="1">
      <alignment vertical="center"/>
    </xf>
    <xf numFmtId="0" fontId="3" fillId="0" borderId="19" xfId="1" applyFont="1" applyBorder="1">
      <alignment vertical="center"/>
    </xf>
    <xf numFmtId="0" fontId="3" fillId="0" borderId="19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0" fontId="2" fillId="3" borderId="9" xfId="1" applyFont="1" applyFill="1" applyBorder="1">
      <alignment vertical="center"/>
    </xf>
    <xf numFmtId="0" fontId="3" fillId="0" borderId="16" xfId="1" applyFont="1" applyBorder="1">
      <alignment vertical="center"/>
    </xf>
    <xf numFmtId="0" fontId="4" fillId="0" borderId="19" xfId="1" applyFont="1" applyBorder="1" applyAlignment="1">
      <alignment horizontal="right" vertical="center"/>
    </xf>
    <xf numFmtId="0" fontId="2" fillId="2" borderId="20" xfId="1" applyFont="1" applyFill="1" applyBorder="1" applyAlignment="1">
      <alignment horizontal="right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0" borderId="4" xfId="1" applyFont="1" applyBorder="1" applyAlignment="1">
      <alignment horizontal="right" vertical="center"/>
    </xf>
    <xf numFmtId="0" fontId="5" fillId="0" borderId="5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" fillId="2" borderId="20" xfId="1" applyFont="1" applyFill="1" applyBorder="1" applyAlignment="1">
      <alignment horizontal="left" vertical="center"/>
    </xf>
    <xf numFmtId="0" fontId="4" fillId="0" borderId="4" xfId="1" applyFont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2" fillId="5" borderId="15" xfId="1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3" fillId="3" borderId="14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center"/>
    </xf>
    <xf numFmtId="0" fontId="2" fillId="8" borderId="9" xfId="1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</cellXfs>
  <cellStyles count="2">
    <cellStyle name="Normal" xfId="0" builtinId="0"/>
    <cellStyle name="Normal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6"/>
  <sheetViews>
    <sheetView tabSelected="1" zoomScale="78" zoomScaleNormal="85" workbookViewId="0">
      <selection activeCell="I17" sqref="I17"/>
    </sheetView>
  </sheetViews>
  <sheetFormatPr defaultColWidth="9" defaultRowHeight="19.95" customHeight="1"/>
  <cols>
    <col min="1" max="1" width="47.88671875" style="4" customWidth="1"/>
    <col min="2" max="2" width="7.6640625" style="4" customWidth="1"/>
    <col min="3" max="6" width="11.6640625" style="4" customWidth="1"/>
    <col min="7" max="16098" width="9.109375" style="4"/>
    <col min="16099" max="16384" width="9" style="4"/>
  </cols>
  <sheetData>
    <row r="1" spans="1:6" ht="19.95" customHeight="1">
      <c r="A1" s="1"/>
      <c r="B1" s="2"/>
      <c r="C1" s="2"/>
      <c r="D1" s="2"/>
      <c r="E1" s="2"/>
      <c r="F1" s="3"/>
    </row>
    <row r="2" spans="1:6" ht="19.95" customHeight="1">
      <c r="A2" s="5" t="s">
        <v>119</v>
      </c>
      <c r="B2" s="6"/>
      <c r="C2" s="6"/>
      <c r="D2" s="6"/>
      <c r="E2" s="7" t="s">
        <v>0</v>
      </c>
      <c r="F2" s="8" t="s">
        <v>1</v>
      </c>
    </row>
    <row r="3" spans="1:6" ht="19.95" customHeight="1">
      <c r="A3" s="5"/>
      <c r="B3" s="6"/>
      <c r="C3" s="6"/>
      <c r="D3" s="6"/>
      <c r="E3" s="6"/>
      <c r="F3" s="9"/>
    </row>
    <row r="4" spans="1:6" ht="19.95" customHeight="1">
      <c r="A4" s="5" t="s">
        <v>2</v>
      </c>
      <c r="B4" s="6"/>
      <c r="C4" s="6"/>
      <c r="D4" s="6"/>
      <c r="E4" s="6"/>
      <c r="F4" s="9"/>
    </row>
    <row r="5" spans="1:6" ht="19.95" customHeight="1">
      <c r="A5" s="10"/>
      <c r="B5" s="11"/>
      <c r="C5" s="11"/>
      <c r="D5" s="11"/>
      <c r="E5" s="11"/>
      <c r="F5" s="12"/>
    </row>
    <row r="6" spans="1:6" ht="19.95" customHeight="1">
      <c r="A6" s="147" t="s">
        <v>3</v>
      </c>
      <c r="B6" s="147"/>
      <c r="C6" s="13" t="s">
        <v>4</v>
      </c>
      <c r="D6" s="147" t="s">
        <v>5</v>
      </c>
      <c r="E6" s="147"/>
      <c r="F6" s="147"/>
    </row>
    <row r="7" spans="1:6" ht="19.95" customHeight="1">
      <c r="A7" s="148"/>
      <c r="B7" s="149"/>
      <c r="C7" s="14"/>
      <c r="D7" s="15"/>
      <c r="E7" s="16"/>
      <c r="F7" s="17"/>
    </row>
    <row r="8" spans="1:6" ht="19.95" customHeight="1">
      <c r="A8" s="150" t="s">
        <v>183</v>
      </c>
      <c r="B8" s="151"/>
      <c r="C8" s="14"/>
      <c r="D8" s="15"/>
      <c r="E8" s="16">
        <f>SUM(E75+E113+E151+E189+E227)</f>
        <v>4471.1339850000004</v>
      </c>
      <c r="F8" s="17"/>
    </row>
    <row r="9" spans="1:6" ht="19.95" customHeight="1">
      <c r="A9" s="148"/>
      <c r="B9" s="149"/>
      <c r="C9" s="14"/>
      <c r="D9" s="15"/>
      <c r="E9" s="16"/>
      <c r="F9" s="17"/>
    </row>
    <row r="10" spans="1:6" ht="19.95" customHeight="1">
      <c r="A10" s="150" t="s">
        <v>184</v>
      </c>
      <c r="B10" s="151"/>
      <c r="C10" s="14"/>
      <c r="D10" s="15"/>
      <c r="E10" s="16">
        <f>SUM(E265+E303+E341+E379+E417)</f>
        <v>329.22332499999999</v>
      </c>
      <c r="F10" s="17"/>
    </row>
    <row r="11" spans="1:6" ht="19.95" customHeight="1">
      <c r="A11" s="148"/>
      <c r="B11" s="149"/>
      <c r="C11" s="14"/>
      <c r="D11" s="15"/>
      <c r="E11" s="16"/>
      <c r="F11" s="17"/>
    </row>
    <row r="12" spans="1:6" ht="19.95" customHeight="1" thickBot="1">
      <c r="A12" s="150" t="s">
        <v>185</v>
      </c>
      <c r="B12" s="151"/>
      <c r="C12" s="14"/>
      <c r="D12" s="136"/>
      <c r="E12" s="137">
        <f>SUM(E455+E485)</f>
        <v>81.805300000000003</v>
      </c>
      <c r="F12" s="22"/>
    </row>
    <row r="13" spans="1:6" ht="19.95" customHeight="1" thickBot="1">
      <c r="A13" s="148"/>
      <c r="B13" s="149"/>
      <c r="C13" s="15"/>
      <c r="D13" s="141" t="s">
        <v>33</v>
      </c>
      <c r="E13" s="142">
        <f>SUM(E8:E12)</f>
        <v>4882.1626100000003</v>
      </c>
      <c r="F13" s="143" t="s">
        <v>6</v>
      </c>
    </row>
    <row r="14" spans="1:6" ht="19.95" customHeight="1">
      <c r="A14" s="148"/>
      <c r="B14" s="149"/>
      <c r="C14" s="14"/>
      <c r="D14" s="138"/>
      <c r="E14" s="139"/>
      <c r="F14" s="140"/>
    </row>
    <row r="15" spans="1:6" ht="19.95" customHeight="1" thickBot="1">
      <c r="A15" s="150" t="s">
        <v>186</v>
      </c>
      <c r="B15" s="151"/>
      <c r="C15" s="14"/>
      <c r="D15" s="136"/>
      <c r="E15" s="137">
        <f>SUM(E507)</f>
        <v>49.77</v>
      </c>
      <c r="F15" s="22"/>
    </row>
    <row r="16" spans="1:6" ht="19.95" customHeight="1" thickBot="1">
      <c r="A16" s="148"/>
      <c r="B16" s="149"/>
      <c r="C16" s="15"/>
      <c r="D16" s="141" t="s">
        <v>33</v>
      </c>
      <c r="E16" s="142">
        <f>SUM(E15)</f>
        <v>49.77</v>
      </c>
      <c r="F16" s="143" t="s">
        <v>6</v>
      </c>
    </row>
    <row r="17" spans="1:6" ht="19.95" customHeight="1">
      <c r="A17" s="148"/>
      <c r="B17" s="149"/>
      <c r="C17" s="14"/>
      <c r="D17" s="138"/>
      <c r="E17" s="139"/>
      <c r="F17" s="140"/>
    </row>
    <row r="18" spans="1:6" ht="19.95" customHeight="1" thickBot="1">
      <c r="A18" s="150" t="s">
        <v>187</v>
      </c>
      <c r="B18" s="151"/>
      <c r="C18" s="14"/>
      <c r="D18" s="51"/>
      <c r="E18" s="52">
        <f>SUM(E512+E515)</f>
        <v>32.517899999999997</v>
      </c>
      <c r="F18" s="53"/>
    </row>
    <row r="19" spans="1:6" ht="19.95" customHeight="1" thickBot="1">
      <c r="A19" s="148"/>
      <c r="B19" s="149"/>
      <c r="C19" s="15"/>
      <c r="D19" s="141" t="s">
        <v>33</v>
      </c>
      <c r="E19" s="142">
        <f>SUM(E18)</f>
        <v>32.517899999999997</v>
      </c>
      <c r="F19" s="143" t="s">
        <v>6</v>
      </c>
    </row>
    <row r="20" spans="1:6" ht="19.95" customHeight="1">
      <c r="A20" s="148"/>
      <c r="B20" s="149"/>
      <c r="C20" s="15"/>
      <c r="D20" s="144"/>
      <c r="E20" s="145"/>
      <c r="F20" s="146"/>
    </row>
    <row r="21" spans="1:6" ht="19.95" customHeight="1">
      <c r="A21" s="148"/>
      <c r="B21" s="149"/>
      <c r="C21" s="14"/>
      <c r="D21" s="54"/>
      <c r="E21" s="55"/>
      <c r="F21" s="56"/>
    </row>
    <row r="22" spans="1:6" ht="19.95" customHeight="1">
      <c r="A22" s="148"/>
      <c r="B22" s="149"/>
      <c r="C22" s="14"/>
      <c r="D22" s="48"/>
      <c r="E22" s="49"/>
      <c r="F22" s="50"/>
    </row>
    <row r="23" spans="1:6" ht="19.95" customHeight="1">
      <c r="A23" s="148"/>
      <c r="B23" s="149"/>
      <c r="C23" s="14"/>
      <c r="D23" s="48"/>
      <c r="E23" s="49"/>
      <c r="F23" s="50"/>
    </row>
    <row r="24" spans="1:6" ht="19.95" customHeight="1">
      <c r="A24" s="148"/>
      <c r="B24" s="149"/>
      <c r="C24" s="14"/>
      <c r="D24" s="48"/>
      <c r="E24" s="49"/>
      <c r="F24" s="50"/>
    </row>
    <row r="25" spans="1:6" ht="19.95" customHeight="1">
      <c r="A25" s="148"/>
      <c r="B25" s="149"/>
      <c r="C25" s="14"/>
      <c r="D25" s="48"/>
      <c r="E25" s="49"/>
      <c r="F25" s="50"/>
    </row>
    <row r="26" spans="1:6" ht="19.95" customHeight="1">
      <c r="A26" s="148"/>
      <c r="B26" s="149"/>
      <c r="C26" s="14"/>
      <c r="D26" s="48"/>
      <c r="E26" s="49"/>
      <c r="F26" s="50"/>
    </row>
    <row r="27" spans="1:6" ht="19.95" customHeight="1">
      <c r="A27" s="148"/>
      <c r="B27" s="149"/>
      <c r="C27" s="14"/>
      <c r="D27" s="48"/>
      <c r="E27" s="49"/>
      <c r="F27" s="50"/>
    </row>
    <row r="28" spans="1:6" ht="19.95" customHeight="1">
      <c r="A28" s="148"/>
      <c r="B28" s="149"/>
      <c r="C28" s="14"/>
      <c r="D28" s="48"/>
      <c r="E28" s="49"/>
      <c r="F28" s="50"/>
    </row>
    <row r="29" spans="1:6" ht="19.95" customHeight="1">
      <c r="A29" s="148"/>
      <c r="B29" s="149"/>
      <c r="C29" s="14"/>
      <c r="D29" s="51"/>
      <c r="E29" s="52"/>
      <c r="F29" s="53"/>
    </row>
    <row r="30" spans="1:6" ht="19.95" customHeight="1">
      <c r="A30" s="148"/>
      <c r="B30" s="149"/>
      <c r="C30" s="15"/>
      <c r="D30" s="57"/>
      <c r="E30" s="58"/>
      <c r="F30" s="59"/>
    </row>
    <row r="31" spans="1:6" ht="19.95" customHeight="1">
      <c r="A31" s="148"/>
      <c r="B31" s="149"/>
      <c r="C31" s="14"/>
      <c r="D31" s="60"/>
      <c r="E31" s="61"/>
      <c r="F31" s="62"/>
    </row>
    <row r="32" spans="1:6" ht="19.95" customHeight="1">
      <c r="A32" s="148"/>
      <c r="B32" s="149"/>
      <c r="C32" s="15"/>
      <c r="D32" s="57"/>
      <c r="E32" s="58"/>
      <c r="F32" s="59"/>
    </row>
    <row r="33" spans="1:6" ht="19.95" customHeight="1">
      <c r="A33" s="148"/>
      <c r="B33" s="149"/>
      <c r="C33" s="14"/>
      <c r="D33" s="54"/>
      <c r="E33" s="55"/>
      <c r="F33" s="56"/>
    </row>
    <row r="34" spans="1:6" ht="19.95" customHeight="1">
      <c r="A34" s="155"/>
      <c r="B34" s="155"/>
      <c r="C34" s="14"/>
      <c r="D34" s="48"/>
      <c r="E34" s="49"/>
      <c r="F34" s="50"/>
    </row>
    <row r="35" spans="1:6" ht="19.95" customHeight="1">
      <c r="A35" s="152"/>
      <c r="B35" s="153"/>
      <c r="C35" s="14"/>
      <c r="D35" s="48"/>
      <c r="E35" s="49"/>
      <c r="F35" s="50"/>
    </row>
    <row r="36" spans="1:6" ht="19.95" customHeight="1">
      <c r="A36" s="152"/>
      <c r="B36" s="153"/>
      <c r="C36" s="14"/>
      <c r="D36" s="15"/>
      <c r="E36" s="16"/>
      <c r="F36" s="17"/>
    </row>
    <row r="37" spans="1:6" ht="19.95" customHeight="1">
      <c r="A37" s="152"/>
      <c r="B37" s="153"/>
      <c r="C37" s="14"/>
      <c r="D37" s="15"/>
      <c r="E37" s="16"/>
      <c r="F37" s="17"/>
    </row>
    <row r="38" spans="1:6" ht="19.95" customHeight="1">
      <c r="A38" s="154" t="s">
        <v>7</v>
      </c>
      <c r="B38" s="154"/>
      <c r="C38" s="154"/>
      <c r="D38" s="154"/>
      <c r="E38" s="154"/>
      <c r="F38" s="154"/>
    </row>
    <row r="39" spans="1:6" ht="19.95" customHeight="1">
      <c r="A39" s="19"/>
      <c r="B39" s="20"/>
      <c r="C39" s="20"/>
      <c r="D39" s="20"/>
      <c r="E39" s="21"/>
      <c r="F39" s="22"/>
    </row>
    <row r="40" spans="1:6" ht="19.95" customHeight="1">
      <c r="A40" s="23" t="s">
        <v>14</v>
      </c>
      <c r="E40" s="7" t="s">
        <v>0</v>
      </c>
      <c r="F40" s="8">
        <v>1</v>
      </c>
    </row>
    <row r="41" spans="1:6" ht="19.95" customHeight="1">
      <c r="A41" s="23" t="s">
        <v>61</v>
      </c>
      <c r="F41" s="24"/>
    </row>
    <row r="42" spans="1:6" ht="19.95" customHeight="1">
      <c r="A42" s="25"/>
      <c r="B42" s="26"/>
      <c r="C42" s="26"/>
      <c r="D42" s="26"/>
      <c r="E42" s="26"/>
      <c r="F42" s="27"/>
    </row>
    <row r="43" spans="1:6" ht="19.95" customHeight="1" thickBot="1">
      <c r="A43" s="66" t="s">
        <v>8</v>
      </c>
      <c r="B43" s="13" t="s">
        <v>9</v>
      </c>
      <c r="C43" s="13" t="s">
        <v>10</v>
      </c>
      <c r="D43" s="13" t="s">
        <v>11</v>
      </c>
      <c r="E43" s="13" t="s">
        <v>12</v>
      </c>
      <c r="F43" s="13" t="s">
        <v>13</v>
      </c>
    </row>
    <row r="44" spans="1:6" ht="19.95" customHeight="1" thickBot="1">
      <c r="A44" s="68" t="s">
        <v>43</v>
      </c>
      <c r="B44" s="65"/>
      <c r="C44" s="34"/>
      <c r="D44" s="34"/>
      <c r="E44" s="34"/>
      <c r="F44" s="34"/>
    </row>
    <row r="45" spans="1:6" ht="19.95" customHeight="1">
      <c r="A45" s="67" t="s">
        <v>18</v>
      </c>
      <c r="B45" s="29">
        <v>1</v>
      </c>
      <c r="C45" s="29">
        <v>1.35</v>
      </c>
      <c r="D45" s="29">
        <v>62.82</v>
      </c>
      <c r="E45" s="29">
        <f>D45*C45*B45</f>
        <v>84.807000000000002</v>
      </c>
      <c r="F45" s="30"/>
    </row>
    <row r="46" spans="1:6" ht="19.95" customHeight="1">
      <c r="A46" s="31" t="s">
        <v>16</v>
      </c>
      <c r="B46" s="29">
        <v>21</v>
      </c>
      <c r="C46" s="29">
        <v>1.1100000000000001</v>
      </c>
      <c r="D46" s="29">
        <v>1.6</v>
      </c>
      <c r="E46" s="29"/>
      <c r="F46" s="30">
        <f>D46*C46*B46</f>
        <v>37.296000000000006</v>
      </c>
    </row>
    <row r="47" spans="1:6" ht="19.95" customHeight="1">
      <c r="A47" s="31" t="s">
        <v>17</v>
      </c>
      <c r="B47" s="29">
        <v>1</v>
      </c>
      <c r="C47" s="29">
        <v>3.45</v>
      </c>
      <c r="D47" s="29">
        <v>62.82</v>
      </c>
      <c r="E47" s="29">
        <f>D47*C47*B47</f>
        <v>216.72900000000001</v>
      </c>
      <c r="F47" s="29"/>
    </row>
    <row r="48" spans="1:6" ht="19.95" customHeight="1">
      <c r="A48" s="31"/>
      <c r="B48" s="29"/>
      <c r="C48" s="29"/>
      <c r="D48" s="29"/>
      <c r="E48" s="29"/>
      <c r="F48" s="29"/>
    </row>
    <row r="49" spans="1:6" ht="19.95" customHeight="1">
      <c r="A49" s="63" t="s">
        <v>19</v>
      </c>
      <c r="B49" s="29">
        <v>1</v>
      </c>
      <c r="C49" s="29">
        <v>3.35</v>
      </c>
      <c r="D49" s="29">
        <v>62.82</v>
      </c>
      <c r="E49" s="29">
        <f>D49*C49*B49</f>
        <v>210.447</v>
      </c>
      <c r="F49" s="29"/>
    </row>
    <row r="50" spans="1:6" ht="19.95" customHeight="1">
      <c r="A50" s="31" t="s">
        <v>16</v>
      </c>
      <c r="B50" s="29">
        <v>21</v>
      </c>
      <c r="C50" s="29">
        <v>2.0550000000000002</v>
      </c>
      <c r="D50" s="29">
        <v>1.595</v>
      </c>
      <c r="E50" s="29"/>
      <c r="F50" s="29">
        <f>D50*C50*B50</f>
        <v>68.832225000000008</v>
      </c>
    </row>
    <row r="51" spans="1:6" ht="19.95" customHeight="1">
      <c r="A51" s="31" t="s">
        <v>17</v>
      </c>
      <c r="B51" s="29">
        <v>1</v>
      </c>
      <c r="C51" s="29">
        <v>1.1000000000000001</v>
      </c>
      <c r="D51" s="29">
        <v>62.82</v>
      </c>
      <c r="E51" s="29">
        <f>D51*C51*B51</f>
        <v>69.102000000000004</v>
      </c>
      <c r="F51" s="29"/>
    </row>
    <row r="52" spans="1:6" ht="19.95" customHeight="1">
      <c r="A52" s="28"/>
      <c r="B52" s="29"/>
      <c r="C52" s="29"/>
      <c r="D52" s="29"/>
      <c r="E52" s="29"/>
      <c r="F52" s="29"/>
    </row>
    <row r="53" spans="1:6" ht="19.95" customHeight="1">
      <c r="A53" s="63" t="s">
        <v>20</v>
      </c>
      <c r="B53" s="29">
        <v>1</v>
      </c>
      <c r="C53" s="64">
        <v>2.44</v>
      </c>
      <c r="D53" s="29">
        <v>62.82</v>
      </c>
      <c r="E53" s="29">
        <f>D53*C53*B53</f>
        <v>153.2808</v>
      </c>
      <c r="F53" s="29"/>
    </row>
    <row r="54" spans="1:6" ht="19.95" customHeight="1">
      <c r="A54" s="31" t="s">
        <v>21</v>
      </c>
      <c r="B54" s="29">
        <v>21</v>
      </c>
      <c r="C54" s="29">
        <v>2.44</v>
      </c>
      <c r="D54" s="29">
        <v>1.615</v>
      </c>
      <c r="E54" s="29"/>
      <c r="F54" s="29">
        <f>D54*C54*B54</f>
        <v>82.752600000000001</v>
      </c>
    </row>
    <row r="55" spans="1:6" ht="19.95" customHeight="1">
      <c r="A55" s="31" t="s">
        <v>17</v>
      </c>
      <c r="B55" s="29">
        <v>1</v>
      </c>
      <c r="C55" s="29">
        <v>0.45500000000000002</v>
      </c>
      <c r="D55" s="29">
        <v>62.82</v>
      </c>
      <c r="E55" s="29">
        <f>D55*C55*B55</f>
        <v>28.583100000000002</v>
      </c>
      <c r="F55" s="29"/>
    </row>
    <row r="56" spans="1:6" ht="19.95" customHeight="1">
      <c r="A56" s="31"/>
      <c r="B56" s="29"/>
      <c r="C56" s="29"/>
      <c r="D56" s="29"/>
      <c r="E56" s="29"/>
      <c r="F56" s="29"/>
    </row>
    <row r="57" spans="1:6" ht="19.95" customHeight="1">
      <c r="A57" s="63" t="s">
        <v>22</v>
      </c>
      <c r="B57" s="29">
        <v>1</v>
      </c>
      <c r="C57" s="29">
        <v>3.35</v>
      </c>
      <c r="D57" s="29">
        <v>62.82</v>
      </c>
      <c r="E57" s="29">
        <f>D57*C57*B57</f>
        <v>210.447</v>
      </c>
      <c r="F57" s="29"/>
    </row>
    <row r="58" spans="1:6" ht="19.95" customHeight="1">
      <c r="A58" s="31" t="s">
        <v>23</v>
      </c>
      <c r="B58" s="29">
        <v>21</v>
      </c>
      <c r="C58" s="29">
        <v>2.895</v>
      </c>
      <c r="D58" s="29">
        <v>1.9350000000000001</v>
      </c>
      <c r="E58" s="29"/>
      <c r="F58" s="29">
        <f>D58*C58*B58</f>
        <v>117.63832499999999</v>
      </c>
    </row>
    <row r="59" spans="1:6" ht="19.95" customHeight="1">
      <c r="A59" s="31" t="s">
        <v>17</v>
      </c>
      <c r="B59" s="29">
        <v>1</v>
      </c>
      <c r="C59" s="29">
        <v>5.4649999999999999</v>
      </c>
      <c r="D59" s="29">
        <v>62.82</v>
      </c>
      <c r="E59" s="29">
        <f>D59*C59*B59</f>
        <v>343.31130000000002</v>
      </c>
      <c r="F59" s="29"/>
    </row>
    <row r="60" spans="1:6" ht="19.95" customHeight="1">
      <c r="A60" s="31" t="s">
        <v>24</v>
      </c>
      <c r="B60" s="29">
        <v>3</v>
      </c>
      <c r="C60" s="29">
        <v>5.4649999999999999</v>
      </c>
      <c r="D60" s="29">
        <v>0.38</v>
      </c>
      <c r="E60" s="29"/>
      <c r="F60" s="29">
        <f>D60*C60*B60</f>
        <v>6.2300999999999993</v>
      </c>
    </row>
    <row r="61" spans="1:6" ht="19.95" customHeight="1">
      <c r="A61" s="31" t="s">
        <v>25</v>
      </c>
      <c r="B61" s="29">
        <v>3</v>
      </c>
      <c r="C61" s="29">
        <v>0.24</v>
      </c>
      <c r="D61" s="29">
        <v>0.23</v>
      </c>
      <c r="E61" s="29"/>
      <c r="F61" s="29">
        <f>D61*C61*B61</f>
        <v>0.1656</v>
      </c>
    </row>
    <row r="62" spans="1:6" ht="19.95" customHeight="1">
      <c r="A62" s="31" t="s">
        <v>37</v>
      </c>
      <c r="B62" s="29">
        <v>1</v>
      </c>
      <c r="C62" s="29">
        <v>2.76</v>
      </c>
      <c r="D62" s="29">
        <v>1.39</v>
      </c>
      <c r="E62" s="29">
        <f>D62*C62*B62</f>
        <v>3.8363999999999994</v>
      </c>
      <c r="F62" s="29"/>
    </row>
    <row r="63" spans="1:6" ht="19.95" customHeight="1">
      <c r="A63" s="34" t="s">
        <v>35</v>
      </c>
      <c r="B63" s="14">
        <v>1</v>
      </c>
      <c r="C63" s="14">
        <v>0.27</v>
      </c>
      <c r="D63" s="14">
        <v>0.59</v>
      </c>
      <c r="E63" s="34"/>
      <c r="F63" s="14">
        <f>D63*C63*B63</f>
        <v>0.1593</v>
      </c>
    </row>
    <row r="64" spans="1:6" ht="19.95" customHeight="1">
      <c r="A64" s="34"/>
      <c r="B64" s="34"/>
      <c r="C64" s="34"/>
      <c r="D64" s="34"/>
      <c r="E64" s="34"/>
      <c r="F64" s="34"/>
    </row>
    <row r="65" spans="1:6" ht="19.95" customHeight="1">
      <c r="A65" s="63" t="s">
        <v>26</v>
      </c>
      <c r="B65" s="29">
        <v>1</v>
      </c>
      <c r="C65" s="29">
        <v>3.09</v>
      </c>
      <c r="D65" s="29">
        <v>62.82</v>
      </c>
      <c r="E65" s="29">
        <f>D65*C65*B65</f>
        <v>194.1138</v>
      </c>
      <c r="F65" s="29"/>
    </row>
    <row r="66" spans="1:6" ht="19.95" customHeight="1">
      <c r="A66" s="31" t="s">
        <v>27</v>
      </c>
      <c r="B66" s="29">
        <v>18</v>
      </c>
      <c r="C66" s="29">
        <v>0.9</v>
      </c>
      <c r="D66" s="29">
        <v>1.4</v>
      </c>
      <c r="E66" s="29"/>
      <c r="F66" s="29">
        <f>D66*C66*B66</f>
        <v>22.68</v>
      </c>
    </row>
    <row r="67" spans="1:6" ht="19.95" customHeight="1">
      <c r="A67" s="31" t="s">
        <v>28</v>
      </c>
      <c r="B67" s="29">
        <v>3</v>
      </c>
      <c r="C67" s="29">
        <v>0.9</v>
      </c>
      <c r="D67" s="29">
        <v>2.1150000000000002</v>
      </c>
      <c r="E67" s="29"/>
      <c r="F67" s="29">
        <f>D67*C67*B67</f>
        <v>5.7105000000000006</v>
      </c>
    </row>
    <row r="68" spans="1:6" ht="19.95" customHeight="1">
      <c r="A68" s="31" t="s">
        <v>29</v>
      </c>
      <c r="B68" s="29">
        <v>1</v>
      </c>
      <c r="C68" s="29">
        <v>3.62</v>
      </c>
      <c r="D68" s="29">
        <v>1.88</v>
      </c>
      <c r="E68" s="29">
        <f>D68*C68*B68</f>
        <v>6.8056000000000001</v>
      </c>
      <c r="F68" s="29"/>
    </row>
    <row r="69" spans="1:6" ht="19.95" customHeight="1">
      <c r="A69" s="31" t="s">
        <v>31</v>
      </c>
      <c r="B69" s="29">
        <v>1</v>
      </c>
      <c r="C69" s="29">
        <v>0.9</v>
      </c>
      <c r="D69" s="29">
        <v>0.875</v>
      </c>
      <c r="E69" s="29"/>
      <c r="F69" s="29">
        <f>D69*C69*B69</f>
        <v>0.78749999999999998</v>
      </c>
    </row>
    <row r="70" spans="1:6" ht="19.95" customHeight="1">
      <c r="A70" s="31" t="s">
        <v>30</v>
      </c>
      <c r="B70" s="29">
        <v>2</v>
      </c>
      <c r="C70" s="29">
        <v>0.9</v>
      </c>
      <c r="D70" s="29">
        <v>0.59</v>
      </c>
      <c r="E70" s="29">
        <f>D70*C70*B70</f>
        <v>1.0620000000000001</v>
      </c>
      <c r="F70" s="29"/>
    </row>
    <row r="71" spans="1:6" ht="19.95" customHeight="1">
      <c r="A71" s="31" t="s">
        <v>32</v>
      </c>
      <c r="B71" s="29">
        <v>1</v>
      </c>
      <c r="C71" s="29">
        <v>0.27</v>
      </c>
      <c r="D71" s="29">
        <v>0.9</v>
      </c>
      <c r="E71" s="29">
        <f>D71*C71*B71</f>
        <v>0.24300000000000002</v>
      </c>
      <c r="F71" s="29"/>
    </row>
    <row r="72" spans="1:6" ht="19.95" customHeight="1" thickBot="1">
      <c r="A72" s="31"/>
      <c r="B72" s="29"/>
      <c r="C72" s="29"/>
      <c r="D72" s="29"/>
      <c r="E72" s="29"/>
      <c r="F72" s="29"/>
    </row>
    <row r="73" spans="1:6" ht="19.95" customHeight="1" thickBot="1">
      <c r="A73" s="31"/>
      <c r="B73" s="29"/>
      <c r="C73" s="69"/>
      <c r="D73" s="71" t="s">
        <v>33</v>
      </c>
      <c r="E73" s="72">
        <f>SUM(E44:E72)</f>
        <v>1522.7679999999998</v>
      </c>
      <c r="F73" s="73">
        <f>SUM(F44:F72)</f>
        <v>342.25215000000003</v>
      </c>
    </row>
    <row r="74" spans="1:6" ht="19.95" customHeight="1" thickBot="1">
      <c r="A74" s="31"/>
      <c r="B74" s="29"/>
      <c r="C74" s="29"/>
      <c r="D74" s="74"/>
      <c r="E74" s="74"/>
      <c r="F74" s="75"/>
    </row>
    <row r="75" spans="1:6" ht="19.95" customHeight="1" thickBot="1">
      <c r="A75" s="31"/>
      <c r="B75" s="29"/>
      <c r="C75" s="69"/>
      <c r="D75" s="76" t="s">
        <v>33</v>
      </c>
      <c r="E75" s="77">
        <f>E73-F73</f>
        <v>1180.5158499999998</v>
      </c>
      <c r="F75" s="78" t="s">
        <v>6</v>
      </c>
    </row>
    <row r="76" spans="1:6" ht="19.95" customHeight="1">
      <c r="A76" s="154" t="s">
        <v>7</v>
      </c>
      <c r="B76" s="154"/>
      <c r="C76" s="154"/>
      <c r="D76" s="156"/>
      <c r="E76" s="156"/>
      <c r="F76" s="156"/>
    </row>
    <row r="77" spans="1:6" ht="19.95" customHeight="1">
      <c r="A77" s="19"/>
      <c r="B77" s="20"/>
      <c r="C77" s="20"/>
      <c r="D77" s="20"/>
      <c r="E77" s="21"/>
      <c r="F77" s="22"/>
    </row>
    <row r="78" spans="1:6" ht="19.95" customHeight="1">
      <c r="A78" s="23" t="s">
        <v>14</v>
      </c>
      <c r="E78" s="7" t="s">
        <v>0</v>
      </c>
      <c r="F78" s="8">
        <v>2</v>
      </c>
    </row>
    <row r="79" spans="1:6" ht="19.95" customHeight="1">
      <c r="A79" s="23" t="s">
        <v>61</v>
      </c>
      <c r="F79" s="24"/>
    </row>
    <row r="80" spans="1:6" ht="19.95" customHeight="1">
      <c r="A80" s="25"/>
      <c r="B80" s="26"/>
      <c r="C80" s="26"/>
      <c r="D80" s="26"/>
      <c r="E80" s="26"/>
      <c r="F80" s="27"/>
    </row>
    <row r="81" spans="1:6" ht="19.95" customHeight="1">
      <c r="A81" s="13" t="s">
        <v>8</v>
      </c>
      <c r="B81" s="13" t="s">
        <v>9</v>
      </c>
      <c r="C81" s="13" t="s">
        <v>10</v>
      </c>
      <c r="D81" s="13" t="s">
        <v>11</v>
      </c>
      <c r="E81" s="13" t="s">
        <v>12</v>
      </c>
      <c r="F81" s="13" t="s">
        <v>13</v>
      </c>
    </row>
    <row r="82" spans="1:6" ht="19.95" customHeight="1">
      <c r="A82" s="63" t="s">
        <v>38</v>
      </c>
      <c r="B82" s="29"/>
      <c r="C82" s="29"/>
      <c r="D82" s="29"/>
      <c r="E82" s="29"/>
      <c r="F82" s="30"/>
    </row>
    <row r="83" spans="1:6" ht="19.95" customHeight="1">
      <c r="A83" s="31" t="s">
        <v>34</v>
      </c>
      <c r="B83" s="29">
        <v>1</v>
      </c>
      <c r="C83" s="29">
        <v>5.4619999999999997</v>
      </c>
      <c r="D83" s="29">
        <v>62.82</v>
      </c>
      <c r="E83" s="29">
        <f>D83*C83*B83</f>
        <v>343.12284</v>
      </c>
      <c r="F83" s="30"/>
    </row>
    <row r="84" spans="1:6" ht="19.95" customHeight="1">
      <c r="A84" s="31" t="s">
        <v>24</v>
      </c>
      <c r="B84" s="29">
        <v>3</v>
      </c>
      <c r="C84" s="29">
        <v>5.4619999999999997</v>
      </c>
      <c r="D84" s="29">
        <v>0.38</v>
      </c>
      <c r="E84" s="14"/>
      <c r="F84" s="29">
        <f>D84*C84*B84</f>
        <v>6.22668</v>
      </c>
    </row>
    <row r="85" spans="1:6" ht="19.95" customHeight="1">
      <c r="A85" s="31" t="s">
        <v>25</v>
      </c>
      <c r="B85" s="29">
        <v>3</v>
      </c>
      <c r="C85" s="29">
        <v>0.24</v>
      </c>
      <c r="D85" s="29">
        <v>0.23</v>
      </c>
      <c r="E85" s="29"/>
      <c r="F85" s="30">
        <f>D85*C85*B85</f>
        <v>0.1656</v>
      </c>
    </row>
    <row r="86" spans="1:6" ht="19.95" customHeight="1">
      <c r="A86" s="33" t="s">
        <v>36</v>
      </c>
      <c r="B86" s="29">
        <v>1</v>
      </c>
      <c r="C86" s="29">
        <v>2.76</v>
      </c>
      <c r="D86" s="29">
        <v>1.39</v>
      </c>
      <c r="E86" s="14">
        <f>D86*C86*B86</f>
        <v>3.8363999999999994</v>
      </c>
      <c r="F86" s="29"/>
    </row>
    <row r="87" spans="1:6" ht="19.95" customHeight="1">
      <c r="A87" s="31" t="s">
        <v>35</v>
      </c>
      <c r="B87" s="29">
        <v>1</v>
      </c>
      <c r="C87" s="29">
        <v>0.27</v>
      </c>
      <c r="D87" s="29">
        <v>0.59</v>
      </c>
      <c r="E87" s="14"/>
      <c r="F87" s="29">
        <f>D87*C87*B87</f>
        <v>0.1593</v>
      </c>
    </row>
    <row r="88" spans="1:6" ht="19.95" customHeight="1" thickBot="1">
      <c r="A88" s="33"/>
      <c r="B88" s="29"/>
      <c r="C88" s="29"/>
      <c r="D88" s="29"/>
      <c r="E88" s="14"/>
      <c r="F88" s="29"/>
    </row>
    <row r="89" spans="1:6" ht="19.95" customHeight="1" thickBot="1">
      <c r="A89" s="68" t="s">
        <v>39</v>
      </c>
      <c r="B89" s="29"/>
      <c r="C89" s="29"/>
      <c r="D89" s="29"/>
      <c r="E89" s="14"/>
      <c r="F89" s="29"/>
    </row>
    <row r="90" spans="1:6" ht="19.95" customHeight="1">
      <c r="A90" s="67" t="s">
        <v>40</v>
      </c>
      <c r="B90" s="29">
        <v>1</v>
      </c>
      <c r="C90" s="29">
        <v>3.3650000000000002</v>
      </c>
      <c r="D90" s="29">
        <v>62.82</v>
      </c>
      <c r="E90" s="14">
        <f>D90*C90*B90</f>
        <v>211.38930000000002</v>
      </c>
      <c r="F90" s="29"/>
    </row>
    <row r="91" spans="1:6" ht="19.95" customHeight="1">
      <c r="A91" s="31" t="s">
        <v>23</v>
      </c>
      <c r="B91" s="29">
        <v>21</v>
      </c>
      <c r="C91" s="29">
        <v>2.89</v>
      </c>
      <c r="D91" s="29">
        <v>1.9350000000000001</v>
      </c>
      <c r="E91" s="14"/>
      <c r="F91" s="29">
        <f>D91*C91*B91</f>
        <v>117.43515000000001</v>
      </c>
    </row>
    <row r="92" spans="1:6" ht="19.95" customHeight="1">
      <c r="A92" s="31" t="s">
        <v>17</v>
      </c>
      <c r="B92" s="29">
        <v>1</v>
      </c>
      <c r="C92" s="29">
        <v>0.46</v>
      </c>
      <c r="D92" s="29">
        <v>62.82</v>
      </c>
      <c r="E92" s="14">
        <f>D92*C92*B92</f>
        <v>28.897200000000002</v>
      </c>
      <c r="F92" s="29"/>
    </row>
    <row r="93" spans="1:6" ht="19.95" customHeight="1">
      <c r="A93" s="33"/>
      <c r="B93" s="29"/>
      <c r="C93" s="29"/>
      <c r="D93" s="29"/>
      <c r="E93" s="14"/>
      <c r="F93" s="29"/>
    </row>
    <row r="94" spans="1:6" ht="19.95" customHeight="1">
      <c r="A94" s="63" t="s">
        <v>41</v>
      </c>
      <c r="B94" s="29">
        <v>1</v>
      </c>
      <c r="C94" s="64">
        <v>2.44</v>
      </c>
      <c r="D94" s="29">
        <v>62.82</v>
      </c>
      <c r="E94" s="29">
        <f>D94*C94*B94</f>
        <v>153.2808</v>
      </c>
      <c r="F94" s="29"/>
    </row>
    <row r="95" spans="1:6" ht="19.95" customHeight="1">
      <c r="A95" s="31" t="s">
        <v>21</v>
      </c>
      <c r="B95" s="29">
        <v>21</v>
      </c>
      <c r="C95" s="29">
        <v>2.44</v>
      </c>
      <c r="D95" s="29">
        <v>1.59</v>
      </c>
      <c r="E95" s="29"/>
      <c r="F95" s="29">
        <f>D95*C95*B95</f>
        <v>81.471599999999995</v>
      </c>
    </row>
    <row r="96" spans="1:6" ht="19.95" customHeight="1">
      <c r="A96" s="31" t="s">
        <v>17</v>
      </c>
      <c r="B96" s="29">
        <v>1</v>
      </c>
      <c r="C96" s="29">
        <v>0.49</v>
      </c>
      <c r="D96" s="29">
        <v>62.82</v>
      </c>
      <c r="E96" s="29">
        <f>D96*C96*B96</f>
        <v>30.7818</v>
      </c>
      <c r="F96" s="29"/>
    </row>
    <row r="97" spans="1:6" ht="19.95" customHeight="1">
      <c r="A97" s="33"/>
      <c r="B97" s="29"/>
      <c r="C97" s="29"/>
      <c r="D97" s="29"/>
      <c r="E97" s="14"/>
      <c r="F97" s="29"/>
    </row>
    <row r="98" spans="1:6" ht="19.95" customHeight="1">
      <c r="A98" s="63" t="s">
        <v>42</v>
      </c>
      <c r="B98" s="29">
        <v>1</v>
      </c>
      <c r="C98" s="29">
        <v>2.415</v>
      </c>
      <c r="D98" s="29">
        <v>62.82</v>
      </c>
      <c r="E98" s="29">
        <f>D98*C98*B98</f>
        <v>151.71029999999999</v>
      </c>
      <c r="F98" s="29"/>
    </row>
    <row r="99" spans="1:6" ht="19.95" customHeight="1">
      <c r="A99" s="31" t="s">
        <v>16</v>
      </c>
      <c r="B99" s="29">
        <v>21</v>
      </c>
      <c r="C99" s="29">
        <v>1.96</v>
      </c>
      <c r="D99" s="29">
        <v>1.58</v>
      </c>
      <c r="E99" s="29"/>
      <c r="F99" s="29">
        <f>D99*C99*B99</f>
        <v>65.032799999999995</v>
      </c>
    </row>
    <row r="100" spans="1:6" ht="19.95" customHeight="1">
      <c r="A100" s="31" t="s">
        <v>17</v>
      </c>
      <c r="B100" s="29">
        <v>1</v>
      </c>
      <c r="C100" s="29">
        <v>0.32</v>
      </c>
      <c r="D100" s="29">
        <v>62.82</v>
      </c>
      <c r="E100" s="29">
        <f>D100*C100*B100</f>
        <v>20.102399999999999</v>
      </c>
      <c r="F100" s="29"/>
    </row>
    <row r="101" spans="1:6" ht="19.95" customHeight="1">
      <c r="A101" s="46"/>
      <c r="B101" s="30"/>
      <c r="C101" s="29"/>
      <c r="D101" s="29"/>
      <c r="E101" s="14"/>
      <c r="F101" s="29"/>
    </row>
    <row r="102" spans="1:6" ht="19.95" customHeight="1">
      <c r="A102" s="36"/>
      <c r="B102" s="30"/>
      <c r="C102" s="29"/>
      <c r="D102" s="29"/>
      <c r="E102" s="14"/>
      <c r="F102" s="29"/>
    </row>
    <row r="103" spans="1:6" ht="19.95" customHeight="1">
      <c r="A103" s="36"/>
      <c r="B103" s="30"/>
      <c r="C103" s="29"/>
      <c r="D103" s="29"/>
      <c r="E103" s="14"/>
      <c r="F103" s="29"/>
    </row>
    <row r="104" spans="1:6" ht="19.95" customHeight="1">
      <c r="A104" s="35"/>
      <c r="B104" s="30"/>
      <c r="C104" s="29"/>
      <c r="D104" s="29"/>
      <c r="E104" s="14"/>
      <c r="F104" s="29"/>
    </row>
    <row r="105" spans="1:6" ht="19.95" customHeight="1">
      <c r="A105" s="33"/>
      <c r="B105" s="29"/>
      <c r="C105" s="29"/>
      <c r="D105" s="29"/>
      <c r="E105" s="14"/>
      <c r="F105" s="29"/>
    </row>
    <row r="106" spans="1:6" ht="19.95" customHeight="1">
      <c r="A106" s="33"/>
      <c r="B106" s="29"/>
      <c r="C106" s="29"/>
      <c r="D106" s="29"/>
      <c r="E106" s="14"/>
      <c r="F106" s="29"/>
    </row>
    <row r="107" spans="1:6" ht="19.95" customHeight="1">
      <c r="A107" s="33"/>
      <c r="B107" s="29"/>
      <c r="C107" s="29"/>
      <c r="D107" s="29"/>
      <c r="E107" s="14"/>
      <c r="F107" s="29"/>
    </row>
    <row r="108" spans="1:6" ht="19.95" customHeight="1">
      <c r="A108" s="36"/>
      <c r="B108" s="30"/>
      <c r="C108" s="29"/>
      <c r="D108" s="29"/>
      <c r="E108" s="14"/>
      <c r="F108" s="29"/>
    </row>
    <row r="109" spans="1:6" ht="19.95" customHeight="1">
      <c r="A109" s="36"/>
      <c r="B109" s="30"/>
      <c r="C109" s="29"/>
      <c r="D109" s="29"/>
      <c r="E109" s="14"/>
      <c r="F109" s="29"/>
    </row>
    <row r="110" spans="1:6" ht="19.95" customHeight="1" thickBot="1">
      <c r="A110" s="37"/>
      <c r="B110" s="14"/>
      <c r="C110" s="14"/>
      <c r="D110" s="80"/>
      <c r="E110" s="80"/>
      <c r="F110" s="80"/>
    </row>
    <row r="111" spans="1:6" ht="19.95" customHeight="1" thickBot="1">
      <c r="A111" s="37"/>
      <c r="B111" s="14"/>
      <c r="C111" s="15"/>
      <c r="D111" s="81" t="s">
        <v>33</v>
      </c>
      <c r="E111" s="82">
        <f>SUM(E82:E110)</f>
        <v>943.12103999999999</v>
      </c>
      <c r="F111" s="83">
        <f>SUM(F82:F110)</f>
        <v>270.49113</v>
      </c>
    </row>
    <row r="112" spans="1:6" ht="19.95" customHeight="1" thickBot="1">
      <c r="A112" s="38"/>
      <c r="B112" s="14"/>
      <c r="C112" s="14"/>
      <c r="D112" s="84"/>
      <c r="E112" s="84"/>
      <c r="F112" s="84"/>
    </row>
    <row r="113" spans="1:6" ht="19.95" customHeight="1" thickBot="1">
      <c r="A113" s="34"/>
      <c r="B113" s="14"/>
      <c r="C113" s="15"/>
      <c r="D113" s="85" t="s">
        <v>33</v>
      </c>
      <c r="E113" s="18">
        <f>E111-F111</f>
        <v>672.62991</v>
      </c>
      <c r="F113" s="86" t="s">
        <v>6</v>
      </c>
    </row>
    <row r="114" spans="1:6" ht="19.95" customHeight="1">
      <c r="A114" s="154" t="s">
        <v>7</v>
      </c>
      <c r="B114" s="154"/>
      <c r="C114" s="154"/>
      <c r="D114" s="156"/>
      <c r="E114" s="156"/>
      <c r="F114" s="156"/>
    </row>
    <row r="115" spans="1:6" ht="19.95" customHeight="1">
      <c r="A115" s="19"/>
      <c r="B115" s="20"/>
      <c r="C115" s="20"/>
      <c r="D115" s="20"/>
      <c r="E115" s="21"/>
      <c r="F115" s="22"/>
    </row>
    <row r="116" spans="1:6" ht="19.95" customHeight="1">
      <c r="A116" s="23" t="s">
        <v>14</v>
      </c>
      <c r="E116" s="7" t="s">
        <v>0</v>
      </c>
      <c r="F116" s="8">
        <v>3</v>
      </c>
    </row>
    <row r="117" spans="1:6" ht="19.95" customHeight="1">
      <c r="A117" s="23" t="s">
        <v>62</v>
      </c>
      <c r="F117" s="24"/>
    </row>
    <row r="118" spans="1:6" ht="19.95" customHeight="1">
      <c r="A118" s="25"/>
      <c r="B118" s="26"/>
      <c r="C118" s="26"/>
      <c r="D118" s="26"/>
      <c r="E118" s="26"/>
      <c r="F118" s="27"/>
    </row>
    <row r="119" spans="1:6" ht="19.95" customHeight="1" thickBot="1">
      <c r="A119" s="13" t="s">
        <v>8</v>
      </c>
      <c r="B119" s="13" t="s">
        <v>9</v>
      </c>
      <c r="C119" s="13" t="s">
        <v>10</v>
      </c>
      <c r="D119" s="13" t="s">
        <v>11</v>
      </c>
      <c r="E119" s="13" t="s">
        <v>12</v>
      </c>
      <c r="F119" s="13" t="s">
        <v>13</v>
      </c>
    </row>
    <row r="120" spans="1:6" ht="19.95" customHeight="1" thickBot="1">
      <c r="A120" s="68" t="s">
        <v>39</v>
      </c>
      <c r="B120" s="29"/>
      <c r="C120" s="29"/>
      <c r="D120" s="29"/>
      <c r="E120" s="29"/>
      <c r="F120" s="30"/>
    </row>
    <row r="121" spans="1:6" ht="19.95" customHeight="1">
      <c r="A121" s="79" t="s">
        <v>44</v>
      </c>
      <c r="B121" s="29">
        <v>1</v>
      </c>
      <c r="C121" s="29">
        <v>3.39</v>
      </c>
      <c r="D121" s="29">
        <v>62.82</v>
      </c>
      <c r="E121" s="29">
        <f>D121*C121*B121</f>
        <v>212.9598</v>
      </c>
      <c r="F121" s="30"/>
    </row>
    <row r="122" spans="1:6" ht="19.95" customHeight="1">
      <c r="A122" s="31" t="s">
        <v>45</v>
      </c>
      <c r="B122" s="29">
        <v>1</v>
      </c>
      <c r="C122" s="29">
        <v>2.355</v>
      </c>
      <c r="D122" s="29">
        <v>62.82</v>
      </c>
      <c r="E122" s="29">
        <f>D122*C122*B122</f>
        <v>147.94110000000001</v>
      </c>
      <c r="F122" s="30"/>
    </row>
    <row r="123" spans="1:6" ht="19.95" customHeight="1">
      <c r="A123" s="31"/>
      <c r="B123" s="29"/>
      <c r="C123" s="29"/>
      <c r="D123" s="29"/>
      <c r="E123" s="29"/>
      <c r="F123" s="30"/>
    </row>
    <row r="124" spans="1:6" ht="19.95" customHeight="1">
      <c r="A124" s="79" t="s">
        <v>46</v>
      </c>
      <c r="B124" s="29">
        <v>1</v>
      </c>
      <c r="C124" s="29">
        <v>3.5</v>
      </c>
      <c r="D124" s="29">
        <v>62.82</v>
      </c>
      <c r="E124" s="29">
        <f>D124*C124*B124</f>
        <v>219.87</v>
      </c>
      <c r="F124" s="30"/>
    </row>
    <row r="125" spans="1:6" ht="19.95" customHeight="1">
      <c r="A125" s="31" t="s">
        <v>16</v>
      </c>
      <c r="B125" s="29">
        <v>21</v>
      </c>
      <c r="C125" s="29">
        <v>2.0499999999999998</v>
      </c>
      <c r="D125" s="29">
        <v>1.58</v>
      </c>
      <c r="E125" s="29"/>
      <c r="F125" s="29">
        <f>D125*C125*B125</f>
        <v>68.018999999999991</v>
      </c>
    </row>
    <row r="126" spans="1:6" ht="19.95" customHeight="1">
      <c r="A126" s="31" t="s">
        <v>17</v>
      </c>
      <c r="B126" s="29">
        <v>1</v>
      </c>
      <c r="C126" s="29">
        <v>0.3</v>
      </c>
      <c r="D126" s="29">
        <v>62.82</v>
      </c>
      <c r="E126" s="29">
        <f>D126*C126*B126</f>
        <v>18.846</v>
      </c>
      <c r="F126" s="29"/>
    </row>
    <row r="127" spans="1:6" ht="19.95" customHeight="1">
      <c r="A127" s="31"/>
      <c r="B127" s="29"/>
      <c r="C127" s="29"/>
      <c r="D127" s="29"/>
      <c r="E127" s="29"/>
      <c r="F127" s="30"/>
    </row>
    <row r="128" spans="1:6" ht="19.95" customHeight="1">
      <c r="A128" s="79" t="s">
        <v>47</v>
      </c>
      <c r="B128" s="29">
        <v>1</v>
      </c>
      <c r="C128" s="29">
        <v>3.0049999999999999</v>
      </c>
      <c r="D128" s="29">
        <v>62.82</v>
      </c>
      <c r="E128" s="29">
        <f>D128*C128*B128</f>
        <v>188.7741</v>
      </c>
      <c r="F128" s="30"/>
    </row>
    <row r="129" spans="1:6" ht="19.95" customHeight="1">
      <c r="A129" s="31" t="s">
        <v>45</v>
      </c>
      <c r="B129" s="29">
        <v>1</v>
      </c>
      <c r="C129" s="29">
        <v>0.29499999999999998</v>
      </c>
      <c r="D129" s="29">
        <v>62.82</v>
      </c>
      <c r="E129" s="29">
        <f>D129*C129*B129</f>
        <v>18.5319</v>
      </c>
      <c r="F129" s="30"/>
    </row>
    <row r="130" spans="1:6" ht="19.95" customHeight="1" thickBot="1">
      <c r="A130" s="31"/>
      <c r="B130" s="29"/>
      <c r="C130" s="29"/>
      <c r="D130" s="29"/>
      <c r="E130" s="29"/>
      <c r="F130" s="30"/>
    </row>
    <row r="131" spans="1:6" ht="19.95" customHeight="1" thickBot="1">
      <c r="A131" s="68" t="s">
        <v>50</v>
      </c>
      <c r="B131" s="34"/>
      <c r="C131" s="34"/>
      <c r="D131" s="34"/>
      <c r="E131" s="34"/>
      <c r="F131" s="34"/>
    </row>
    <row r="132" spans="1:6" ht="19.95" customHeight="1">
      <c r="A132" s="79" t="s">
        <v>48</v>
      </c>
      <c r="B132" s="29">
        <v>1</v>
      </c>
      <c r="C132" s="29">
        <v>3.5049999999999999</v>
      </c>
      <c r="D132" s="29">
        <v>62.82</v>
      </c>
      <c r="E132" s="29">
        <f>D132*C132*B132</f>
        <v>220.1841</v>
      </c>
      <c r="F132" s="30"/>
    </row>
    <row r="133" spans="1:6" ht="19.95" customHeight="1">
      <c r="A133" s="31" t="s">
        <v>16</v>
      </c>
      <c r="B133" s="29">
        <v>21</v>
      </c>
      <c r="C133" s="29">
        <v>2.0550000000000002</v>
      </c>
      <c r="D133" s="29">
        <v>1.575</v>
      </c>
      <c r="E133" s="29"/>
      <c r="F133" s="29">
        <f>D133*C133*B133</f>
        <v>67.969125000000005</v>
      </c>
    </row>
    <row r="134" spans="1:6" ht="19.95" customHeight="1">
      <c r="A134" s="31" t="s">
        <v>17</v>
      </c>
      <c r="B134" s="29">
        <v>1</v>
      </c>
      <c r="C134" s="29">
        <v>2.355</v>
      </c>
      <c r="D134" s="29">
        <v>62.82</v>
      </c>
      <c r="E134" s="29">
        <f>D134*C134*B134</f>
        <v>147.94110000000001</v>
      </c>
      <c r="F134" s="29"/>
    </row>
    <row r="135" spans="1:6" ht="19.95" customHeight="1">
      <c r="A135" s="31"/>
      <c r="B135" s="29"/>
      <c r="C135" s="29"/>
      <c r="D135" s="29"/>
      <c r="E135" s="29"/>
      <c r="F135" s="30"/>
    </row>
    <row r="136" spans="1:6" ht="19.95" customHeight="1">
      <c r="A136" s="79" t="s">
        <v>49</v>
      </c>
      <c r="B136" s="29">
        <v>1</v>
      </c>
      <c r="C136" s="29">
        <v>3.7</v>
      </c>
      <c r="D136" s="29">
        <v>62.82</v>
      </c>
      <c r="E136" s="29">
        <f>D136*C136*B136</f>
        <v>232.43400000000003</v>
      </c>
      <c r="F136" s="30"/>
    </row>
    <row r="137" spans="1:6" ht="19.95" customHeight="1">
      <c r="A137" s="37"/>
      <c r="B137" s="30"/>
      <c r="C137" s="30"/>
      <c r="D137" s="29"/>
      <c r="E137" s="29"/>
      <c r="F137" s="30"/>
    </row>
    <row r="138" spans="1:6" ht="19.95" customHeight="1">
      <c r="A138" s="38"/>
      <c r="B138" s="30"/>
      <c r="C138" s="39"/>
      <c r="D138" s="29"/>
      <c r="E138" s="29"/>
      <c r="F138" s="30"/>
    </row>
    <row r="139" spans="1:6" ht="19.95" customHeight="1">
      <c r="A139" s="38"/>
      <c r="B139" s="30"/>
      <c r="C139" s="39"/>
      <c r="D139" s="29"/>
      <c r="E139" s="29"/>
      <c r="F139" s="30"/>
    </row>
    <row r="140" spans="1:6" ht="19.95" customHeight="1">
      <c r="A140" s="37"/>
      <c r="B140" s="30"/>
      <c r="C140" s="30"/>
      <c r="D140" s="29"/>
      <c r="E140" s="29"/>
      <c r="F140" s="30"/>
    </row>
    <row r="141" spans="1:6" ht="19.95" customHeight="1">
      <c r="A141" s="37"/>
      <c r="B141" s="30"/>
      <c r="C141" s="30"/>
      <c r="D141" s="29"/>
      <c r="E141" s="29"/>
      <c r="F141" s="30"/>
    </row>
    <row r="142" spans="1:6" ht="19.95" customHeight="1">
      <c r="A142" s="28"/>
      <c r="B142" s="29"/>
      <c r="C142" s="29"/>
      <c r="D142" s="29"/>
      <c r="E142" s="29"/>
      <c r="F142" s="30"/>
    </row>
    <row r="143" spans="1:6" ht="19.95" customHeight="1">
      <c r="A143" s="31"/>
      <c r="B143" s="29"/>
      <c r="C143" s="29"/>
      <c r="D143" s="29"/>
      <c r="E143" s="29"/>
      <c r="F143" s="30"/>
    </row>
    <row r="144" spans="1:6" ht="19.95" customHeight="1">
      <c r="A144" s="31"/>
      <c r="B144" s="29"/>
      <c r="C144" s="29"/>
      <c r="D144" s="29"/>
      <c r="E144" s="29"/>
      <c r="F144" s="30"/>
    </row>
    <row r="145" spans="1:6" ht="19.95" customHeight="1">
      <c r="A145" s="31"/>
      <c r="B145" s="29"/>
      <c r="C145" s="29"/>
      <c r="D145" s="29"/>
      <c r="E145" s="29"/>
      <c r="F145" s="30"/>
    </row>
    <row r="146" spans="1:6" ht="19.95" customHeight="1">
      <c r="A146" s="37"/>
      <c r="B146" s="30"/>
      <c r="C146" s="30"/>
      <c r="D146" s="29"/>
      <c r="E146" s="29"/>
      <c r="F146" s="30"/>
    </row>
    <row r="147" spans="1:6" ht="19.95" customHeight="1">
      <c r="A147" s="37"/>
      <c r="B147" s="30"/>
      <c r="C147" s="30"/>
      <c r="D147" s="29"/>
      <c r="E147" s="29"/>
      <c r="F147" s="30"/>
    </row>
    <row r="148" spans="1:6" ht="19.95" customHeight="1" thickBot="1">
      <c r="A148" s="37"/>
      <c r="B148" s="30"/>
      <c r="C148" s="30"/>
      <c r="D148" s="70"/>
      <c r="E148" s="70"/>
      <c r="F148" s="87"/>
    </row>
    <row r="149" spans="1:6" ht="19.95" customHeight="1" thickBot="1">
      <c r="A149" s="37"/>
      <c r="B149" s="30"/>
      <c r="C149" s="39"/>
      <c r="D149" s="88" t="s">
        <v>33</v>
      </c>
      <c r="E149" s="89">
        <f>SUM(E120:E148)</f>
        <v>1407.4820999999999</v>
      </c>
      <c r="F149" s="73">
        <f>SUM(F120:F148)</f>
        <v>135.988125</v>
      </c>
    </row>
    <row r="150" spans="1:6" ht="19.95" customHeight="1" thickBot="1">
      <c r="A150" s="38"/>
      <c r="B150" s="30"/>
      <c r="C150" s="30"/>
      <c r="D150" s="75"/>
      <c r="E150" s="75"/>
      <c r="F150" s="75"/>
    </row>
    <row r="151" spans="1:6" ht="19.95" customHeight="1" thickBot="1">
      <c r="A151" s="34"/>
      <c r="B151" s="30"/>
      <c r="C151" s="39"/>
      <c r="D151" s="90" t="s">
        <v>33</v>
      </c>
      <c r="E151" s="91">
        <f>E149-F149</f>
        <v>1271.4939749999999</v>
      </c>
      <c r="F151" s="78" t="s">
        <v>6</v>
      </c>
    </row>
    <row r="152" spans="1:6" ht="19.95" customHeight="1">
      <c r="A152" s="154" t="s">
        <v>7</v>
      </c>
      <c r="B152" s="154"/>
      <c r="C152" s="154"/>
      <c r="D152" s="156"/>
      <c r="E152" s="156"/>
      <c r="F152" s="156"/>
    </row>
    <row r="153" spans="1:6" ht="19.95" customHeight="1">
      <c r="A153" s="19"/>
      <c r="B153" s="20"/>
      <c r="C153" s="20"/>
      <c r="D153" s="20"/>
      <c r="E153" s="21"/>
      <c r="F153" s="22"/>
    </row>
    <row r="154" spans="1:6" ht="19.95" customHeight="1">
      <c r="A154" s="23" t="s">
        <v>14</v>
      </c>
      <c r="E154" s="7" t="s">
        <v>0</v>
      </c>
      <c r="F154" s="8">
        <v>4</v>
      </c>
    </row>
    <row r="155" spans="1:6" ht="19.95" customHeight="1">
      <c r="A155" s="23" t="s">
        <v>63</v>
      </c>
      <c r="F155" s="24"/>
    </row>
    <row r="156" spans="1:6" ht="19.95" customHeight="1">
      <c r="A156" s="25"/>
      <c r="B156" s="26"/>
      <c r="C156" s="26"/>
      <c r="D156" s="26"/>
      <c r="E156" s="26"/>
      <c r="F156" s="27"/>
    </row>
    <row r="157" spans="1:6" ht="19.95" customHeight="1" thickBot="1">
      <c r="A157" s="13" t="s">
        <v>8</v>
      </c>
      <c r="B157" s="13" t="s">
        <v>9</v>
      </c>
      <c r="C157" s="13" t="s">
        <v>10</v>
      </c>
      <c r="D157" s="13" t="s">
        <v>11</v>
      </c>
      <c r="E157" s="13" t="s">
        <v>12</v>
      </c>
      <c r="F157" s="13" t="s">
        <v>13</v>
      </c>
    </row>
    <row r="158" spans="1:6" ht="19.95" customHeight="1" thickBot="1">
      <c r="A158" s="68" t="s">
        <v>50</v>
      </c>
      <c r="B158" s="29"/>
      <c r="C158" s="29"/>
      <c r="D158" s="29"/>
      <c r="E158" s="30"/>
      <c r="F158" s="30"/>
    </row>
    <row r="159" spans="1:6" ht="19.95" customHeight="1">
      <c r="A159" s="79" t="s">
        <v>51</v>
      </c>
      <c r="B159" s="29">
        <v>1</v>
      </c>
      <c r="C159" s="29">
        <v>3.35</v>
      </c>
      <c r="D159" s="29">
        <v>62.82</v>
      </c>
      <c r="E159" s="30">
        <f>D159*C159*B159</f>
        <v>210.447</v>
      </c>
      <c r="F159" s="30"/>
    </row>
    <row r="160" spans="1:6" ht="19.95" customHeight="1">
      <c r="A160" s="31" t="s">
        <v>16</v>
      </c>
      <c r="B160" s="29">
        <v>21</v>
      </c>
      <c r="C160" s="29">
        <v>2.0449999999999999</v>
      </c>
      <c r="D160" s="29">
        <v>1.59</v>
      </c>
      <c r="E160" s="30"/>
      <c r="F160" s="30">
        <f>D160*C160*B160</f>
        <v>68.282550000000001</v>
      </c>
    </row>
    <row r="161" spans="1:6" ht="19.95" customHeight="1">
      <c r="A161" s="31" t="s">
        <v>17</v>
      </c>
      <c r="B161" s="29">
        <v>1</v>
      </c>
      <c r="C161" s="29">
        <v>0.495</v>
      </c>
      <c r="D161" s="29">
        <v>62.82</v>
      </c>
      <c r="E161" s="14">
        <f>D161*C161*B161</f>
        <v>31.0959</v>
      </c>
      <c r="F161" s="30"/>
    </row>
    <row r="162" spans="1:6" ht="19.95" customHeight="1">
      <c r="A162" s="31"/>
      <c r="B162" s="29"/>
      <c r="C162" s="29"/>
      <c r="D162" s="29"/>
      <c r="E162" s="14"/>
      <c r="F162" s="30"/>
    </row>
    <row r="163" spans="1:6" ht="19.95" customHeight="1">
      <c r="A163" s="79" t="s">
        <v>52</v>
      </c>
      <c r="B163" s="29">
        <v>1</v>
      </c>
      <c r="C163" s="29">
        <v>2.4449999999999998</v>
      </c>
      <c r="D163" s="29">
        <v>62.82</v>
      </c>
      <c r="E163" s="30">
        <f>D163*C163*B163</f>
        <v>153.5949</v>
      </c>
      <c r="F163" s="30"/>
    </row>
    <row r="164" spans="1:6" ht="19.95" customHeight="1">
      <c r="A164" s="31" t="s">
        <v>21</v>
      </c>
      <c r="B164" s="29">
        <v>21</v>
      </c>
      <c r="C164" s="29">
        <v>2.4449999999999998</v>
      </c>
      <c r="D164" s="29">
        <v>1.61</v>
      </c>
      <c r="E164" s="30"/>
      <c r="F164" s="30">
        <f>D164*C164*B164</f>
        <v>82.665449999999993</v>
      </c>
    </row>
    <row r="165" spans="1:6" ht="19.95" customHeight="1">
      <c r="A165" s="31" t="s">
        <v>17</v>
      </c>
      <c r="B165" s="29">
        <v>1</v>
      </c>
      <c r="C165" s="29">
        <v>0.44</v>
      </c>
      <c r="D165" s="29">
        <v>62.82</v>
      </c>
      <c r="E165" s="14">
        <f>D165*C165*B165</f>
        <v>27.640799999999999</v>
      </c>
      <c r="F165" s="30"/>
    </row>
    <row r="166" spans="1:6" ht="19.95" customHeight="1">
      <c r="A166" s="31"/>
      <c r="B166" s="29"/>
      <c r="C166" s="29"/>
      <c r="D166" s="29"/>
      <c r="E166" s="30"/>
      <c r="F166" s="30"/>
    </row>
    <row r="167" spans="1:6" ht="19.95" customHeight="1">
      <c r="A167" s="67" t="s">
        <v>53</v>
      </c>
      <c r="B167" s="29">
        <v>1</v>
      </c>
      <c r="C167" s="29">
        <v>3.35</v>
      </c>
      <c r="D167" s="29">
        <v>62.82</v>
      </c>
      <c r="E167" s="14">
        <f>D167*C167*B167</f>
        <v>210.447</v>
      </c>
      <c r="F167" s="29"/>
    </row>
    <row r="168" spans="1:6" ht="19.95" customHeight="1">
      <c r="A168" s="31" t="s">
        <v>23</v>
      </c>
      <c r="B168" s="29">
        <v>21</v>
      </c>
      <c r="C168" s="29">
        <v>2.8849999999999998</v>
      </c>
      <c r="D168" s="29">
        <v>1.96</v>
      </c>
      <c r="E168" s="14"/>
      <c r="F168" s="29">
        <f>D168*C168*B168</f>
        <v>118.74659999999999</v>
      </c>
    </row>
    <row r="169" spans="1:6" ht="19.95" customHeight="1">
      <c r="A169" s="31" t="s">
        <v>17</v>
      </c>
      <c r="B169" s="29">
        <v>1</v>
      </c>
      <c r="C169" s="29">
        <v>0.15</v>
      </c>
      <c r="D169" s="29">
        <v>64.47</v>
      </c>
      <c r="E169" s="14">
        <f>D169*C169*B169</f>
        <v>9.6704999999999988</v>
      </c>
      <c r="F169" s="29"/>
    </row>
    <row r="170" spans="1:6" ht="19.95" customHeight="1">
      <c r="A170" s="31"/>
      <c r="B170" s="29"/>
      <c r="C170" s="29"/>
      <c r="D170" s="29"/>
      <c r="E170" s="14"/>
      <c r="F170" s="30"/>
    </row>
    <row r="171" spans="1:6" ht="19.95" customHeight="1">
      <c r="A171" s="67" t="s">
        <v>57</v>
      </c>
      <c r="B171" s="29">
        <v>1</v>
      </c>
      <c r="C171" s="29">
        <v>3.1</v>
      </c>
      <c r="D171" s="29">
        <v>66.58</v>
      </c>
      <c r="E171" s="14">
        <f>D171*C171*B171</f>
        <v>206.398</v>
      </c>
      <c r="F171" s="29"/>
    </row>
    <row r="172" spans="1:6" ht="19.95" customHeight="1">
      <c r="A172" s="31" t="s">
        <v>16</v>
      </c>
      <c r="B172" s="29">
        <v>22</v>
      </c>
      <c r="C172" s="29">
        <v>1.0149999999999999</v>
      </c>
      <c r="D172" s="29">
        <v>1.335</v>
      </c>
      <c r="E172" s="14"/>
      <c r="F172" s="29">
        <f>D172*C172*B172</f>
        <v>29.810549999999999</v>
      </c>
    </row>
    <row r="173" spans="1:6" ht="19.95" customHeight="1">
      <c r="A173" s="31" t="s">
        <v>55</v>
      </c>
      <c r="B173" s="14">
        <v>11</v>
      </c>
      <c r="C173" s="14">
        <v>0.44</v>
      </c>
      <c r="D173" s="14">
        <v>0.51500000000000001</v>
      </c>
      <c r="E173" s="14"/>
      <c r="F173" s="14">
        <f>D173*C173*B173</f>
        <v>2.4925999999999999</v>
      </c>
    </row>
    <row r="174" spans="1:6" ht="19.95" customHeight="1">
      <c r="A174" s="31" t="s">
        <v>17</v>
      </c>
      <c r="B174" s="29">
        <v>1</v>
      </c>
      <c r="C174" s="29">
        <v>0.14499999999999999</v>
      </c>
      <c r="D174" s="29">
        <v>64.47</v>
      </c>
      <c r="E174" s="14">
        <f>D174*C174*B174</f>
        <v>9.3481499999999986</v>
      </c>
      <c r="F174" s="29"/>
    </row>
    <row r="175" spans="1:6" ht="19.95" customHeight="1" thickBot="1">
      <c r="A175" s="31"/>
      <c r="B175" s="29"/>
      <c r="C175" s="29"/>
      <c r="D175" s="29"/>
      <c r="E175" s="30"/>
      <c r="F175" s="30"/>
    </row>
    <row r="176" spans="1:6" ht="19.95" customHeight="1" thickBot="1">
      <c r="A176" s="68" t="s">
        <v>58</v>
      </c>
      <c r="B176" s="34"/>
      <c r="C176" s="34"/>
      <c r="D176" s="34"/>
      <c r="E176" s="34"/>
      <c r="F176" s="34"/>
    </row>
    <row r="177" spans="1:6" ht="19.95" customHeight="1">
      <c r="A177" s="67" t="s">
        <v>54</v>
      </c>
      <c r="B177" s="92">
        <v>1</v>
      </c>
      <c r="C177" s="92">
        <v>3.34</v>
      </c>
      <c r="D177" s="92">
        <v>62.82</v>
      </c>
      <c r="E177" s="93">
        <f>D177*C177*B177</f>
        <v>209.81879999999998</v>
      </c>
      <c r="F177" s="92"/>
    </row>
    <row r="178" spans="1:6" ht="19.95" customHeight="1">
      <c r="A178" s="31" t="s">
        <v>23</v>
      </c>
      <c r="B178" s="29">
        <v>21</v>
      </c>
      <c r="C178" s="29">
        <v>2.91</v>
      </c>
      <c r="D178" s="29">
        <v>1.9550000000000001</v>
      </c>
      <c r="E178" s="14"/>
      <c r="F178" s="29">
        <f>D178*C178*B178</f>
        <v>119.47005000000001</v>
      </c>
    </row>
    <row r="179" spans="1:6" ht="19.95" customHeight="1">
      <c r="A179" s="31" t="s">
        <v>17</v>
      </c>
      <c r="B179" s="29">
        <v>1</v>
      </c>
      <c r="C179" s="29">
        <v>0.46</v>
      </c>
      <c r="D179" s="29">
        <v>62.82</v>
      </c>
      <c r="E179" s="14">
        <f>D179*C179*B179</f>
        <v>28.897200000000002</v>
      </c>
      <c r="F179" s="29"/>
    </row>
    <row r="180" spans="1:6" ht="19.95" customHeight="1">
      <c r="A180" s="31"/>
      <c r="B180" s="29"/>
      <c r="C180" s="29"/>
      <c r="D180" s="29"/>
      <c r="E180" s="14"/>
      <c r="F180" s="30"/>
    </row>
    <row r="181" spans="1:6" ht="19.95" customHeight="1">
      <c r="A181" s="63" t="s">
        <v>56</v>
      </c>
      <c r="B181" s="29">
        <v>1</v>
      </c>
      <c r="C181" s="64">
        <v>2.4500000000000002</v>
      </c>
      <c r="D181" s="29">
        <v>62.82</v>
      </c>
      <c r="E181" s="29">
        <f>D181*C181*B181</f>
        <v>153.90900000000002</v>
      </c>
      <c r="F181" s="29"/>
    </row>
    <row r="182" spans="1:6" ht="19.95" customHeight="1">
      <c r="A182" s="31" t="s">
        <v>21</v>
      </c>
      <c r="B182" s="29">
        <v>21</v>
      </c>
      <c r="C182" s="29">
        <v>2.4500000000000002</v>
      </c>
      <c r="D182" s="29">
        <v>1.61</v>
      </c>
      <c r="E182" s="29"/>
      <c r="F182" s="29">
        <f>D182*C182*B182</f>
        <v>82.834500000000006</v>
      </c>
    </row>
    <row r="183" spans="1:6" ht="19.95" customHeight="1">
      <c r="A183" s="31" t="s">
        <v>17</v>
      </c>
      <c r="B183" s="29">
        <v>1</v>
      </c>
      <c r="C183" s="29">
        <v>1.1000000000000001</v>
      </c>
      <c r="D183" s="29">
        <v>62.82</v>
      </c>
      <c r="E183" s="29">
        <f>D183*C183*B183</f>
        <v>69.102000000000004</v>
      </c>
      <c r="F183" s="29"/>
    </row>
    <row r="184" spans="1:6" ht="19.95" customHeight="1">
      <c r="A184" s="37"/>
      <c r="B184" s="30"/>
      <c r="C184" s="29"/>
      <c r="D184" s="29"/>
      <c r="E184" s="30"/>
      <c r="F184" s="30"/>
    </row>
    <row r="185" spans="1:6" ht="19.95" customHeight="1">
      <c r="A185" s="37"/>
      <c r="B185" s="30"/>
      <c r="C185" s="29"/>
      <c r="D185" s="29"/>
      <c r="E185" s="14"/>
      <c r="F185" s="30"/>
    </row>
    <row r="186" spans="1:6" ht="19.95" customHeight="1" thickBot="1">
      <c r="A186" s="37"/>
      <c r="B186" s="30"/>
      <c r="C186" s="29"/>
      <c r="D186" s="70"/>
      <c r="E186" s="87"/>
      <c r="F186" s="87"/>
    </row>
    <row r="187" spans="1:6" ht="19.95" customHeight="1" thickBot="1">
      <c r="A187" s="37"/>
      <c r="B187" s="30"/>
      <c r="C187" s="69"/>
      <c r="D187" s="71" t="s">
        <v>33</v>
      </c>
      <c r="E187" s="82">
        <f>SUM(E158:E186)</f>
        <v>1320.3692500000002</v>
      </c>
      <c r="F187" s="73">
        <f>SUM(F158:F186)</f>
        <v>504.30229999999995</v>
      </c>
    </row>
    <row r="188" spans="1:6" ht="19.95" customHeight="1" thickBot="1">
      <c r="A188" s="38"/>
      <c r="B188" s="30"/>
      <c r="C188" s="30"/>
      <c r="D188" s="75"/>
      <c r="E188" s="75"/>
      <c r="F188" s="75"/>
    </row>
    <row r="189" spans="1:6" ht="19.95" customHeight="1" thickBot="1">
      <c r="A189" s="34"/>
      <c r="B189" s="14"/>
      <c r="C189" s="15"/>
      <c r="D189" s="85" t="s">
        <v>33</v>
      </c>
      <c r="E189" s="18">
        <f>E187-F187</f>
        <v>816.06695000000025</v>
      </c>
      <c r="F189" s="86" t="s">
        <v>6</v>
      </c>
    </row>
    <row r="190" spans="1:6" ht="19.95" customHeight="1">
      <c r="A190" s="154" t="s">
        <v>7</v>
      </c>
      <c r="B190" s="154"/>
      <c r="C190" s="154"/>
      <c r="D190" s="156"/>
      <c r="E190" s="156"/>
      <c r="F190" s="156"/>
    </row>
    <row r="191" spans="1:6" ht="19.95" customHeight="1">
      <c r="A191" s="19"/>
      <c r="B191" s="20"/>
      <c r="C191" s="20"/>
      <c r="D191" s="20"/>
      <c r="E191" s="21"/>
      <c r="F191" s="22"/>
    </row>
    <row r="192" spans="1:6" ht="19.95" customHeight="1">
      <c r="A192" s="23" t="s">
        <v>14</v>
      </c>
      <c r="E192" s="7" t="s">
        <v>0</v>
      </c>
      <c r="F192" s="8">
        <v>5</v>
      </c>
    </row>
    <row r="193" spans="1:6" ht="19.95" customHeight="1">
      <c r="A193" s="23" t="s">
        <v>63</v>
      </c>
      <c r="F193" s="24"/>
    </row>
    <row r="194" spans="1:6" ht="19.95" customHeight="1">
      <c r="A194" s="25"/>
      <c r="B194" s="26"/>
      <c r="C194" s="26"/>
      <c r="D194" s="26"/>
      <c r="E194" s="26"/>
      <c r="F194" s="27"/>
    </row>
    <row r="195" spans="1:6" ht="19.95" customHeight="1" thickBot="1">
      <c r="A195" s="13" t="s">
        <v>8</v>
      </c>
      <c r="B195" s="13" t="s">
        <v>9</v>
      </c>
      <c r="C195" s="13" t="s">
        <v>10</v>
      </c>
      <c r="D195" s="13" t="s">
        <v>11</v>
      </c>
      <c r="E195" s="13" t="s">
        <v>12</v>
      </c>
      <c r="F195" s="13" t="s">
        <v>13</v>
      </c>
    </row>
    <row r="196" spans="1:6" ht="19.95" customHeight="1" thickBot="1">
      <c r="A196" s="68" t="s">
        <v>58</v>
      </c>
      <c r="B196" s="33"/>
      <c r="C196" s="33"/>
      <c r="D196" s="33"/>
      <c r="E196" s="30"/>
      <c r="F196" s="30"/>
    </row>
    <row r="197" spans="1:6" ht="19.95" customHeight="1">
      <c r="A197" s="79" t="s">
        <v>59</v>
      </c>
      <c r="B197" s="29">
        <v>1</v>
      </c>
      <c r="C197" s="29">
        <v>3.34</v>
      </c>
      <c r="D197" s="29">
        <v>62.82</v>
      </c>
      <c r="E197" s="30">
        <f>D197*C197*B197</f>
        <v>209.81879999999998</v>
      </c>
      <c r="F197" s="30"/>
    </row>
    <row r="198" spans="1:6" ht="19.95" customHeight="1">
      <c r="A198" s="31" t="s">
        <v>16</v>
      </c>
      <c r="B198" s="29">
        <v>21</v>
      </c>
      <c r="C198" s="29">
        <v>2.0550000000000002</v>
      </c>
      <c r="D198" s="29">
        <v>1.58</v>
      </c>
      <c r="E198" s="30"/>
      <c r="F198" s="30">
        <f>D198*C198*B198</f>
        <v>68.184900000000013</v>
      </c>
    </row>
    <row r="199" spans="1:6" ht="19.95" customHeight="1">
      <c r="A199" s="31" t="s">
        <v>17</v>
      </c>
      <c r="B199" s="29">
        <v>1</v>
      </c>
      <c r="C199" s="29">
        <v>3.44</v>
      </c>
      <c r="D199" s="29">
        <v>62.82</v>
      </c>
      <c r="E199" s="14">
        <f>D199*C199*B199</f>
        <v>216.10079999999999</v>
      </c>
      <c r="F199" s="30"/>
    </row>
    <row r="200" spans="1:6" ht="19.95" customHeight="1">
      <c r="A200" s="33"/>
      <c r="B200" s="29"/>
      <c r="C200" s="29"/>
      <c r="D200" s="29"/>
      <c r="E200" s="40"/>
      <c r="F200" s="30"/>
    </row>
    <row r="201" spans="1:6" ht="19.95" customHeight="1">
      <c r="A201" s="79" t="s">
        <v>60</v>
      </c>
      <c r="B201" s="29">
        <v>1</v>
      </c>
      <c r="C201" s="29">
        <v>1.35</v>
      </c>
      <c r="D201" s="29">
        <v>62.82</v>
      </c>
      <c r="E201" s="29">
        <f>D201*C201*B201</f>
        <v>84.807000000000002</v>
      </c>
      <c r="F201" s="30"/>
    </row>
    <row r="202" spans="1:6" ht="19.95" customHeight="1">
      <c r="A202" s="31" t="s">
        <v>16</v>
      </c>
      <c r="B202" s="29">
        <v>21</v>
      </c>
      <c r="C202" s="29">
        <v>1.1000000000000001</v>
      </c>
      <c r="D202" s="29">
        <v>1.58</v>
      </c>
      <c r="E202" s="29"/>
      <c r="F202" s="29">
        <f>D202*C202*B202</f>
        <v>36.498000000000005</v>
      </c>
    </row>
    <row r="203" spans="1:6" ht="19.95" customHeight="1">
      <c r="A203" s="31" t="s">
        <v>17</v>
      </c>
      <c r="B203" s="29">
        <v>1</v>
      </c>
      <c r="C203" s="29">
        <v>1.98</v>
      </c>
      <c r="D203" s="29">
        <v>62.82</v>
      </c>
      <c r="E203" s="29">
        <f>D203*C203*B203</f>
        <v>124.3836</v>
      </c>
      <c r="F203" s="29"/>
    </row>
    <row r="204" spans="1:6" ht="19.95" customHeight="1">
      <c r="A204" s="36"/>
      <c r="B204" s="30"/>
      <c r="C204" s="29"/>
      <c r="D204" s="29"/>
      <c r="E204" s="40"/>
      <c r="F204" s="30"/>
    </row>
    <row r="205" spans="1:6" ht="19.95" customHeight="1">
      <c r="A205" s="36"/>
      <c r="B205" s="30"/>
      <c r="C205" s="29"/>
      <c r="D205" s="29"/>
      <c r="E205" s="40"/>
      <c r="F205" s="30"/>
    </row>
    <row r="206" spans="1:6" ht="19.95" customHeight="1">
      <c r="A206" s="36"/>
      <c r="B206" s="30"/>
      <c r="C206" s="29"/>
      <c r="D206" s="29"/>
      <c r="E206" s="40"/>
      <c r="F206" s="30"/>
    </row>
    <row r="207" spans="1:6" ht="19.95" customHeight="1">
      <c r="A207" s="36"/>
      <c r="B207" s="14"/>
      <c r="C207" s="29"/>
      <c r="D207" s="29"/>
      <c r="E207" s="40"/>
      <c r="F207" s="30"/>
    </row>
    <row r="208" spans="1:6" ht="19.95" customHeight="1">
      <c r="A208" s="37"/>
      <c r="B208" s="14"/>
      <c r="C208" s="29"/>
      <c r="D208" s="29"/>
      <c r="E208" s="40"/>
      <c r="F208" s="30"/>
    </row>
    <row r="209" spans="1:6" ht="19.95" customHeight="1">
      <c r="A209" s="37"/>
      <c r="B209" s="14"/>
      <c r="C209" s="14"/>
      <c r="D209" s="14"/>
      <c r="E209" s="14"/>
      <c r="F209" s="14"/>
    </row>
    <row r="210" spans="1:6" ht="19.95" customHeight="1">
      <c r="A210" s="37"/>
      <c r="B210" s="14"/>
      <c r="C210" s="14"/>
      <c r="D210" s="14"/>
      <c r="E210" s="14"/>
      <c r="F210" s="14"/>
    </row>
    <row r="211" spans="1:6" ht="19.95" customHeight="1">
      <c r="A211" s="37"/>
      <c r="B211" s="14"/>
      <c r="C211" s="14"/>
      <c r="D211" s="14"/>
      <c r="E211" s="14"/>
      <c r="F211" s="14"/>
    </row>
    <row r="212" spans="1:6" ht="19.95" customHeight="1">
      <c r="A212" s="38"/>
      <c r="B212" s="14"/>
      <c r="C212" s="14"/>
      <c r="D212" s="14"/>
      <c r="E212" s="14"/>
      <c r="F212" s="14"/>
    </row>
    <row r="213" spans="1:6" ht="19.95" customHeight="1">
      <c r="A213" s="37"/>
      <c r="B213" s="14"/>
      <c r="C213" s="14"/>
      <c r="D213" s="14"/>
      <c r="E213" s="14"/>
      <c r="F213" s="14"/>
    </row>
    <row r="214" spans="1:6" ht="19.95" customHeight="1">
      <c r="A214" s="38"/>
      <c r="B214" s="14"/>
      <c r="C214" s="15"/>
      <c r="D214" s="14"/>
      <c r="E214" s="14"/>
      <c r="F214" s="14"/>
    </row>
    <row r="215" spans="1:6" ht="19.95" customHeight="1">
      <c r="A215" s="38"/>
      <c r="B215" s="14"/>
      <c r="C215" s="15"/>
      <c r="D215" s="14"/>
      <c r="E215" s="14"/>
      <c r="F215" s="14"/>
    </row>
    <row r="216" spans="1:6" ht="19.95" customHeight="1">
      <c r="A216" s="37"/>
      <c r="B216" s="14"/>
      <c r="C216" s="14"/>
      <c r="D216" s="14"/>
      <c r="E216" s="14"/>
      <c r="F216" s="14"/>
    </row>
    <row r="217" spans="1:6" ht="19.95" customHeight="1">
      <c r="A217" s="37"/>
      <c r="B217" s="14"/>
      <c r="C217" s="14"/>
      <c r="D217" s="14"/>
      <c r="E217" s="14"/>
      <c r="F217" s="14"/>
    </row>
    <row r="218" spans="1:6" ht="19.95" customHeight="1">
      <c r="A218" s="38"/>
      <c r="B218" s="14"/>
      <c r="C218" s="14"/>
      <c r="D218" s="14"/>
      <c r="E218" s="14"/>
      <c r="F218" s="14"/>
    </row>
    <row r="219" spans="1:6" ht="19.95" customHeight="1">
      <c r="A219" s="37"/>
      <c r="B219" s="14"/>
      <c r="C219" s="14"/>
      <c r="D219" s="14"/>
      <c r="E219" s="14"/>
      <c r="F219" s="14"/>
    </row>
    <row r="220" spans="1:6" ht="19.95" customHeight="1">
      <c r="A220" s="38"/>
      <c r="B220" s="14"/>
      <c r="C220" s="14"/>
      <c r="D220" s="14"/>
      <c r="E220" s="14"/>
      <c r="F220" s="14"/>
    </row>
    <row r="221" spans="1:6" ht="19.95" customHeight="1">
      <c r="A221" s="38"/>
      <c r="B221" s="14"/>
      <c r="C221" s="14"/>
      <c r="D221" s="14"/>
      <c r="E221" s="14"/>
      <c r="F221" s="14"/>
    </row>
    <row r="222" spans="1:6" ht="19.95" customHeight="1">
      <c r="A222" s="37"/>
      <c r="B222" s="14"/>
      <c r="C222" s="14"/>
      <c r="D222" s="14"/>
      <c r="E222" s="14"/>
      <c r="F222" s="14"/>
    </row>
    <row r="223" spans="1:6" ht="19.95" customHeight="1">
      <c r="A223" s="37"/>
      <c r="B223" s="14"/>
      <c r="C223" s="14"/>
      <c r="D223" s="14"/>
      <c r="E223" s="14"/>
      <c r="F223" s="14"/>
    </row>
    <row r="224" spans="1:6" ht="19.95" customHeight="1" thickBot="1">
      <c r="A224" s="37"/>
      <c r="B224" s="14"/>
      <c r="C224" s="14"/>
      <c r="D224" s="80"/>
      <c r="E224" s="80"/>
      <c r="F224" s="80"/>
    </row>
    <row r="225" spans="1:6" ht="19.95" customHeight="1" thickBot="1">
      <c r="A225" s="37"/>
      <c r="B225" s="14"/>
      <c r="C225" s="15"/>
      <c r="D225" s="81" t="s">
        <v>33</v>
      </c>
      <c r="E225" s="82">
        <f>SUM(E196:E224)</f>
        <v>635.11019999999996</v>
      </c>
      <c r="F225" s="83">
        <f>SUM(F196:F224)</f>
        <v>104.68290000000002</v>
      </c>
    </row>
    <row r="226" spans="1:6" ht="19.95" customHeight="1" thickBot="1">
      <c r="A226" s="38"/>
      <c r="B226" s="14"/>
      <c r="C226" s="14"/>
      <c r="D226" s="84"/>
      <c r="E226" s="84"/>
      <c r="F226" s="84"/>
    </row>
    <row r="227" spans="1:6" ht="19.95" customHeight="1" thickBot="1">
      <c r="A227" s="34"/>
      <c r="B227" s="14"/>
      <c r="C227" s="15"/>
      <c r="D227" s="85" t="s">
        <v>33</v>
      </c>
      <c r="E227" s="18">
        <f>E225-F225</f>
        <v>530.42729999999995</v>
      </c>
      <c r="F227" s="86" t="s">
        <v>6</v>
      </c>
    </row>
    <row r="228" spans="1:6" ht="19.95" customHeight="1">
      <c r="A228" s="154" t="s">
        <v>7</v>
      </c>
      <c r="B228" s="154"/>
      <c r="C228" s="154"/>
      <c r="D228" s="156"/>
      <c r="E228" s="156"/>
      <c r="F228" s="156"/>
    </row>
    <row r="229" spans="1:6" ht="19.95" customHeight="1">
      <c r="A229" s="19"/>
      <c r="B229" s="20"/>
      <c r="C229" s="20"/>
      <c r="D229" s="20"/>
      <c r="E229" s="21"/>
      <c r="F229" s="22"/>
    </row>
    <row r="230" spans="1:6" ht="19.95" customHeight="1">
      <c r="A230" s="23" t="s">
        <v>14</v>
      </c>
      <c r="E230" s="7" t="s">
        <v>0</v>
      </c>
      <c r="F230" s="8">
        <v>6</v>
      </c>
    </row>
    <row r="231" spans="1:6" ht="19.95" customHeight="1">
      <c r="A231" s="23" t="s">
        <v>93</v>
      </c>
      <c r="F231" s="24"/>
    </row>
    <row r="232" spans="1:6" ht="19.95" customHeight="1">
      <c r="A232" s="25"/>
      <c r="B232" s="26"/>
      <c r="C232" s="26"/>
      <c r="D232" s="26"/>
      <c r="E232" s="26"/>
      <c r="F232" s="27"/>
    </row>
    <row r="233" spans="1:6" ht="19.95" customHeight="1" thickBot="1">
      <c r="A233" s="66" t="s">
        <v>8</v>
      </c>
      <c r="B233" s="13" t="s">
        <v>9</v>
      </c>
      <c r="C233" s="13" t="s">
        <v>10</v>
      </c>
      <c r="D233" s="13" t="s">
        <v>11</v>
      </c>
      <c r="E233" s="13" t="s">
        <v>12</v>
      </c>
      <c r="F233" s="13" t="s">
        <v>13</v>
      </c>
    </row>
    <row r="234" spans="1:6" ht="19.95" customHeight="1" thickBot="1">
      <c r="A234" s="96" t="s">
        <v>64</v>
      </c>
      <c r="B234" s="94"/>
      <c r="C234" s="29"/>
      <c r="D234" s="29"/>
      <c r="E234" s="30"/>
      <c r="F234" s="30"/>
    </row>
    <row r="235" spans="1:6" ht="19.95" customHeight="1">
      <c r="A235" s="97" t="s">
        <v>77</v>
      </c>
      <c r="B235" s="29">
        <v>1</v>
      </c>
      <c r="C235" s="29">
        <v>10.050000000000001</v>
      </c>
      <c r="D235" s="29">
        <v>1.02</v>
      </c>
      <c r="E235" s="30">
        <f t="shared" ref="E235:E242" si="0">D235*C235*B235</f>
        <v>10.251000000000001</v>
      </c>
      <c r="F235" s="30"/>
    </row>
    <row r="236" spans="1:6" ht="19.95" customHeight="1">
      <c r="A236" s="95" t="s">
        <v>65</v>
      </c>
      <c r="B236" s="29">
        <v>1</v>
      </c>
      <c r="C236" s="29">
        <v>10.050000000000001</v>
      </c>
      <c r="D236" s="29">
        <v>0.185</v>
      </c>
      <c r="E236" s="30">
        <f t="shared" si="0"/>
        <v>1.8592500000000001</v>
      </c>
      <c r="F236" s="30"/>
    </row>
    <row r="237" spans="1:6" ht="19.95" customHeight="1">
      <c r="A237" s="42" t="s">
        <v>69</v>
      </c>
      <c r="B237" s="29">
        <v>1</v>
      </c>
      <c r="C237" s="29">
        <v>3.46</v>
      </c>
      <c r="D237" s="29">
        <v>1.02</v>
      </c>
      <c r="E237" s="30">
        <f t="shared" si="0"/>
        <v>3.5291999999999999</v>
      </c>
      <c r="F237" s="30"/>
    </row>
    <row r="238" spans="1:6" ht="19.95" customHeight="1">
      <c r="A238" s="42" t="s">
        <v>66</v>
      </c>
      <c r="B238" s="29">
        <v>1</v>
      </c>
      <c r="C238" s="29">
        <v>3.46</v>
      </c>
      <c r="D238" s="29">
        <v>0.185</v>
      </c>
      <c r="E238" s="30">
        <f t="shared" si="0"/>
        <v>0.6401</v>
      </c>
      <c r="F238" s="30"/>
    </row>
    <row r="239" spans="1:6" ht="19.95" customHeight="1">
      <c r="A239" s="42" t="s">
        <v>70</v>
      </c>
      <c r="B239" s="29">
        <v>1</v>
      </c>
      <c r="C239" s="29">
        <v>1.1100000000000001</v>
      </c>
      <c r="D239" s="29">
        <v>1.02</v>
      </c>
      <c r="E239" s="30">
        <f t="shared" si="0"/>
        <v>1.1322000000000001</v>
      </c>
      <c r="F239" s="30"/>
    </row>
    <row r="240" spans="1:6" ht="19.95" customHeight="1">
      <c r="A240" s="42" t="s">
        <v>67</v>
      </c>
      <c r="B240" s="29">
        <v>1</v>
      </c>
      <c r="C240" s="29">
        <v>1.1100000000000001</v>
      </c>
      <c r="D240" s="29">
        <v>0.185</v>
      </c>
      <c r="E240" s="30">
        <f t="shared" si="0"/>
        <v>0.20535</v>
      </c>
      <c r="F240" s="30"/>
    </row>
    <row r="241" spans="1:6" ht="19.95" customHeight="1">
      <c r="A241" s="42" t="s">
        <v>71</v>
      </c>
      <c r="B241" s="29">
        <v>1</v>
      </c>
      <c r="C241" s="29">
        <v>0.45500000000000002</v>
      </c>
      <c r="D241" s="29">
        <v>1.02</v>
      </c>
      <c r="E241" s="30">
        <f t="shared" si="0"/>
        <v>0.46410000000000001</v>
      </c>
      <c r="F241" s="30"/>
    </row>
    <row r="242" spans="1:6" ht="19.95" customHeight="1">
      <c r="A242" s="42" t="s">
        <v>68</v>
      </c>
      <c r="B242" s="29">
        <v>1</v>
      </c>
      <c r="C242" s="29">
        <v>0.45500000000000002</v>
      </c>
      <c r="D242" s="29">
        <v>0.185</v>
      </c>
      <c r="E242" s="30">
        <f t="shared" si="0"/>
        <v>8.4175E-2</v>
      </c>
      <c r="F242" s="30"/>
    </row>
    <row r="243" spans="1:6" ht="19.95" customHeight="1">
      <c r="A243" s="42"/>
      <c r="B243" s="29"/>
      <c r="C243" s="29"/>
      <c r="D243" s="29"/>
      <c r="E243" s="30"/>
      <c r="F243" s="30"/>
    </row>
    <row r="244" spans="1:6" ht="19.95" customHeight="1">
      <c r="A244" s="98" t="s">
        <v>78</v>
      </c>
      <c r="B244" s="29">
        <v>1</v>
      </c>
      <c r="C244" s="29">
        <v>6.99</v>
      </c>
      <c r="D244" s="29">
        <v>4.82</v>
      </c>
      <c r="E244" s="30">
        <f>D244*C244*B244</f>
        <v>33.691800000000001</v>
      </c>
      <c r="F244" s="30"/>
    </row>
    <row r="245" spans="1:6" ht="19.95" customHeight="1">
      <c r="A245" s="42" t="s">
        <v>72</v>
      </c>
      <c r="B245" s="29">
        <v>1</v>
      </c>
      <c r="C245" s="29">
        <v>0.185</v>
      </c>
      <c r="D245" s="29">
        <v>1.02</v>
      </c>
      <c r="E245" s="30"/>
      <c r="F245" s="30">
        <f>D245*C245*B245</f>
        <v>0.18870000000000001</v>
      </c>
    </row>
    <row r="246" spans="1:6" ht="19.95" customHeight="1">
      <c r="A246" s="42" t="s">
        <v>73</v>
      </c>
      <c r="B246" s="29">
        <v>1</v>
      </c>
      <c r="C246" s="29">
        <v>0.15</v>
      </c>
      <c r="D246" s="29">
        <v>2.13</v>
      </c>
      <c r="E246" s="30"/>
      <c r="F246" s="30">
        <f>D246*C246*B246</f>
        <v>0.31949999999999995</v>
      </c>
    </row>
    <row r="247" spans="1:6" ht="19.95" customHeight="1">
      <c r="A247" s="42" t="s">
        <v>74</v>
      </c>
      <c r="B247" s="29">
        <v>1</v>
      </c>
      <c r="C247" s="29">
        <v>7.0000000000000007E-2</v>
      </c>
      <c r="D247" s="29">
        <v>1.9</v>
      </c>
      <c r="E247" s="30">
        <f>D247*C247*B247</f>
        <v>0.13300000000000001</v>
      </c>
      <c r="F247" s="30"/>
    </row>
    <row r="248" spans="1:6" ht="19.95" customHeight="1">
      <c r="A248" s="42" t="s">
        <v>75</v>
      </c>
      <c r="B248" s="29">
        <v>1</v>
      </c>
      <c r="C248" s="29">
        <v>7.0000000000000007E-2</v>
      </c>
      <c r="D248" s="29">
        <v>1.78</v>
      </c>
      <c r="E248" s="30">
        <f>D248*C248*B248</f>
        <v>0.12460000000000002</v>
      </c>
      <c r="F248" s="30"/>
    </row>
    <row r="249" spans="1:6" ht="19.95" customHeight="1">
      <c r="A249" s="42" t="s">
        <v>76</v>
      </c>
      <c r="B249" s="29">
        <v>1</v>
      </c>
      <c r="C249" s="29">
        <v>7.0000000000000007E-2</v>
      </c>
      <c r="D249" s="29">
        <v>1.08</v>
      </c>
      <c r="E249" s="30"/>
      <c r="F249" s="30">
        <f>D249*C249*B249</f>
        <v>7.5600000000000014E-2</v>
      </c>
    </row>
    <row r="250" spans="1:6" ht="19.95" customHeight="1">
      <c r="A250" s="41"/>
      <c r="B250" s="29"/>
      <c r="C250" s="29"/>
      <c r="D250" s="29"/>
      <c r="E250" s="30"/>
      <c r="F250" s="30"/>
    </row>
    <row r="251" spans="1:6" ht="19.95" customHeight="1">
      <c r="A251" s="98" t="s">
        <v>79</v>
      </c>
      <c r="B251" s="29">
        <v>1</v>
      </c>
      <c r="C251" s="29">
        <v>4.25</v>
      </c>
      <c r="D251" s="29">
        <v>2.93</v>
      </c>
      <c r="E251" s="30">
        <f>D251*C251*B251</f>
        <v>12.452500000000001</v>
      </c>
      <c r="F251" s="30"/>
    </row>
    <row r="252" spans="1:6" ht="19.95" customHeight="1">
      <c r="A252" s="42" t="s">
        <v>74</v>
      </c>
      <c r="B252" s="29">
        <v>1</v>
      </c>
      <c r="C252" s="29">
        <v>7.0000000000000007E-2</v>
      </c>
      <c r="D252" s="29">
        <v>1.9</v>
      </c>
      <c r="E252" s="30">
        <f>D252*C252*B252</f>
        <v>0.13300000000000001</v>
      </c>
      <c r="F252" s="30"/>
    </row>
    <row r="253" spans="1:6" ht="19.95" customHeight="1">
      <c r="A253" s="42" t="s">
        <v>75</v>
      </c>
      <c r="B253" s="29">
        <v>1</v>
      </c>
      <c r="C253" s="29">
        <v>7.0000000000000007E-2</v>
      </c>
      <c r="D253" s="29">
        <v>1.32</v>
      </c>
      <c r="E253" s="30">
        <f>D253*C253*B253</f>
        <v>9.240000000000001E-2</v>
      </c>
      <c r="F253" s="30"/>
    </row>
    <row r="254" spans="1:6" ht="19.95" customHeight="1">
      <c r="A254" s="42" t="s">
        <v>76</v>
      </c>
      <c r="B254" s="29">
        <v>1</v>
      </c>
      <c r="C254" s="29">
        <v>7.0000000000000007E-2</v>
      </c>
      <c r="D254" s="29">
        <v>1.08</v>
      </c>
      <c r="E254" s="30"/>
      <c r="F254" s="30">
        <f>D254*C254*B254</f>
        <v>7.5600000000000014E-2</v>
      </c>
    </row>
    <row r="255" spans="1:6" ht="19.95" customHeight="1">
      <c r="A255" s="42"/>
      <c r="B255" s="29"/>
      <c r="C255" s="29"/>
      <c r="D255" s="29"/>
      <c r="E255" s="30"/>
      <c r="F255" s="30"/>
    </row>
    <row r="256" spans="1:6" ht="19.95" customHeight="1">
      <c r="A256" s="98" t="s">
        <v>80</v>
      </c>
      <c r="B256" s="29">
        <v>1</v>
      </c>
      <c r="C256" s="29">
        <v>3.52</v>
      </c>
      <c r="D256" s="29">
        <v>4.82</v>
      </c>
      <c r="E256" s="30">
        <f>D256*C256*B256</f>
        <v>16.9664</v>
      </c>
      <c r="F256" s="30"/>
    </row>
    <row r="257" spans="1:6" ht="19.95" customHeight="1">
      <c r="A257" s="43"/>
      <c r="B257" s="29"/>
      <c r="C257" s="29"/>
      <c r="D257" s="29"/>
      <c r="E257" s="30"/>
      <c r="F257" s="30"/>
    </row>
    <row r="258" spans="1:6" ht="19.95" customHeight="1">
      <c r="A258" s="98" t="s">
        <v>83</v>
      </c>
      <c r="B258" s="29">
        <v>2</v>
      </c>
      <c r="C258" s="29">
        <v>3.75</v>
      </c>
      <c r="D258" s="29">
        <v>1.02</v>
      </c>
      <c r="E258" s="30">
        <f>D258*C258*B258</f>
        <v>7.65</v>
      </c>
      <c r="F258" s="30"/>
    </row>
    <row r="259" spans="1:6" ht="19.95" customHeight="1">
      <c r="A259" s="42" t="s">
        <v>81</v>
      </c>
      <c r="B259" s="29">
        <v>2</v>
      </c>
      <c r="C259" s="29">
        <v>3.75</v>
      </c>
      <c r="D259" s="29">
        <v>0.19500000000000001</v>
      </c>
      <c r="E259" s="30">
        <f>D259*C259*B259</f>
        <v>1.4625000000000001</v>
      </c>
      <c r="F259" s="30"/>
    </row>
    <row r="260" spans="1:6" ht="19.95" customHeight="1">
      <c r="A260" s="42" t="s">
        <v>82</v>
      </c>
      <c r="B260" s="29">
        <v>1</v>
      </c>
      <c r="C260" s="29">
        <v>2.99</v>
      </c>
      <c r="D260" s="29">
        <v>0.19500000000000001</v>
      </c>
      <c r="E260" s="30">
        <f>D260*C260*B260</f>
        <v>0.58305000000000007</v>
      </c>
      <c r="F260" s="30"/>
    </row>
    <row r="261" spans="1:6" ht="19.95" customHeight="1">
      <c r="A261" s="42"/>
      <c r="B261" s="29"/>
      <c r="C261" s="29"/>
      <c r="D261" s="29"/>
      <c r="E261" s="30"/>
      <c r="F261" s="30"/>
    </row>
    <row r="262" spans="1:6" ht="19.95" customHeight="1" thickBot="1">
      <c r="A262" s="42"/>
      <c r="B262" s="29"/>
      <c r="C262" s="29"/>
      <c r="D262" s="70"/>
      <c r="E262" s="87"/>
      <c r="F262" s="87"/>
    </row>
    <row r="263" spans="1:6" ht="19.95" customHeight="1" thickBot="1">
      <c r="A263" s="42"/>
      <c r="B263" s="29"/>
      <c r="C263" s="69"/>
      <c r="D263" s="71" t="s">
        <v>33</v>
      </c>
      <c r="E263" s="89">
        <f>SUM(E234:E262)</f>
        <v>91.454625000000007</v>
      </c>
      <c r="F263" s="73">
        <f>SUM(F234:F262)</f>
        <v>0.65939999999999999</v>
      </c>
    </row>
    <row r="264" spans="1:6" ht="19.95" customHeight="1" thickBot="1">
      <c r="A264" s="42"/>
      <c r="B264" s="29"/>
      <c r="C264" s="29"/>
      <c r="D264" s="74"/>
      <c r="E264" s="75"/>
      <c r="F264" s="75"/>
    </row>
    <row r="265" spans="1:6" ht="19.95" customHeight="1" thickBot="1">
      <c r="A265" s="36"/>
      <c r="B265" s="30"/>
      <c r="C265" s="69"/>
      <c r="D265" s="76" t="s">
        <v>33</v>
      </c>
      <c r="E265" s="91">
        <f>E263-F263</f>
        <v>90.795225000000002</v>
      </c>
      <c r="F265" s="78" t="s">
        <v>6</v>
      </c>
    </row>
    <row r="266" spans="1:6" ht="19.95" customHeight="1">
      <c r="A266" s="154" t="s">
        <v>7</v>
      </c>
      <c r="B266" s="154"/>
      <c r="C266" s="154"/>
      <c r="D266" s="156"/>
      <c r="E266" s="156"/>
      <c r="F266" s="156"/>
    </row>
    <row r="267" spans="1:6" ht="19.95" customHeight="1">
      <c r="A267" s="19"/>
      <c r="B267" s="20"/>
      <c r="C267" s="20"/>
      <c r="D267" s="20"/>
      <c r="E267" s="21"/>
      <c r="F267" s="22"/>
    </row>
    <row r="268" spans="1:6" ht="19.95" customHeight="1">
      <c r="A268" s="23" t="s">
        <v>14</v>
      </c>
      <c r="E268" s="7" t="s">
        <v>0</v>
      </c>
      <c r="F268" s="8">
        <v>7</v>
      </c>
    </row>
    <row r="269" spans="1:6" ht="19.95" customHeight="1">
      <c r="A269" s="23" t="s">
        <v>93</v>
      </c>
      <c r="F269" s="24"/>
    </row>
    <row r="270" spans="1:6" ht="19.95" customHeight="1">
      <c r="A270" s="25"/>
      <c r="B270" s="26"/>
      <c r="C270" s="26"/>
      <c r="D270" s="26"/>
      <c r="E270" s="26"/>
      <c r="F270" s="27"/>
    </row>
    <row r="271" spans="1:6" ht="19.95" customHeight="1" thickBot="1">
      <c r="A271" s="13" t="s">
        <v>8</v>
      </c>
      <c r="B271" s="13" t="s">
        <v>9</v>
      </c>
      <c r="C271" s="13" t="s">
        <v>10</v>
      </c>
      <c r="D271" s="13" t="s">
        <v>11</v>
      </c>
      <c r="E271" s="13" t="s">
        <v>12</v>
      </c>
      <c r="F271" s="13" t="s">
        <v>13</v>
      </c>
    </row>
    <row r="272" spans="1:6" ht="19.95" customHeight="1" thickBot="1">
      <c r="A272" s="101" t="s">
        <v>64</v>
      </c>
      <c r="B272" s="44"/>
      <c r="C272" s="44"/>
      <c r="D272" s="44"/>
      <c r="E272" s="30"/>
      <c r="F272" s="30"/>
    </row>
    <row r="273" spans="1:6" ht="19.95" customHeight="1">
      <c r="A273" s="103" t="s">
        <v>87</v>
      </c>
      <c r="B273" s="29">
        <v>1</v>
      </c>
      <c r="C273" s="29">
        <v>4.2750000000000004</v>
      </c>
      <c r="D273" s="29">
        <v>3</v>
      </c>
      <c r="E273" s="30">
        <f>D273*C273*B273</f>
        <v>12.825000000000001</v>
      </c>
      <c r="F273" s="30"/>
    </row>
    <row r="274" spans="1:6" ht="19.95" customHeight="1">
      <c r="A274" s="32" t="s">
        <v>84</v>
      </c>
      <c r="B274" s="29">
        <v>1</v>
      </c>
      <c r="C274" s="29">
        <v>1.0149999999999999</v>
      </c>
      <c r="D274" s="29">
        <v>1.87</v>
      </c>
      <c r="E274" s="30"/>
      <c r="F274" s="30">
        <f>D274*C274*B274</f>
        <v>1.89805</v>
      </c>
    </row>
    <row r="275" spans="1:6" ht="19.95" customHeight="1">
      <c r="A275" s="33" t="s">
        <v>85</v>
      </c>
      <c r="B275" s="29">
        <v>2</v>
      </c>
      <c r="C275" s="29">
        <v>0.24</v>
      </c>
      <c r="D275" s="29">
        <v>1.87</v>
      </c>
      <c r="E275" s="30">
        <f>D275*C275*B275</f>
        <v>0.89760000000000006</v>
      </c>
      <c r="F275" s="30"/>
    </row>
    <row r="276" spans="1:6" ht="19.95" customHeight="1">
      <c r="A276" s="33" t="s">
        <v>86</v>
      </c>
      <c r="B276" s="29">
        <v>1</v>
      </c>
      <c r="C276" s="29">
        <v>0.24</v>
      </c>
      <c r="D276" s="29">
        <v>1.0149999999999999</v>
      </c>
      <c r="E276" s="30">
        <f>D276*C276*B276</f>
        <v>0.24359999999999996</v>
      </c>
      <c r="F276" s="30"/>
    </row>
    <row r="277" spans="1:6" ht="19.95" customHeight="1">
      <c r="A277" s="33" t="s">
        <v>88</v>
      </c>
      <c r="B277" s="29">
        <v>2</v>
      </c>
      <c r="C277" s="29">
        <v>0.45</v>
      </c>
      <c r="D277" s="29">
        <v>1.46</v>
      </c>
      <c r="E277" s="30">
        <f>D277*C277*B277</f>
        <v>1.3140000000000001</v>
      </c>
      <c r="F277" s="30"/>
    </row>
    <row r="278" spans="1:6" ht="19.95" customHeight="1">
      <c r="A278" s="33"/>
      <c r="B278" s="29"/>
      <c r="C278" s="29"/>
      <c r="D278" s="29"/>
      <c r="E278" s="30"/>
      <c r="F278" s="30"/>
    </row>
    <row r="279" spans="1:6" ht="19.95" customHeight="1">
      <c r="A279" s="103" t="s">
        <v>89</v>
      </c>
      <c r="B279" s="29">
        <v>1</v>
      </c>
      <c r="C279" s="29">
        <v>4.24</v>
      </c>
      <c r="D279" s="29">
        <v>2.9</v>
      </c>
      <c r="E279" s="30">
        <f>D279*C279*B279</f>
        <v>12.295999999999999</v>
      </c>
      <c r="F279" s="30"/>
    </row>
    <row r="280" spans="1:6" ht="19.95" customHeight="1">
      <c r="A280" s="33" t="s">
        <v>45</v>
      </c>
      <c r="B280" s="29">
        <v>1</v>
      </c>
      <c r="C280" s="29">
        <v>7.4999999999999997E-2</v>
      </c>
      <c r="D280" s="29">
        <v>1.8</v>
      </c>
      <c r="E280" s="30">
        <f>D280*C280*B280</f>
        <v>0.13500000000000001</v>
      </c>
      <c r="F280" s="30"/>
    </row>
    <row r="281" spans="1:6" ht="19.95" customHeight="1">
      <c r="A281" s="33" t="s">
        <v>90</v>
      </c>
      <c r="B281" s="29">
        <v>1</v>
      </c>
      <c r="C281" s="29">
        <v>7.4999999999999997E-2</v>
      </c>
      <c r="D281" s="29">
        <v>1.28</v>
      </c>
      <c r="E281" s="14">
        <f>D281*C281*B281</f>
        <v>9.6000000000000002E-2</v>
      </c>
      <c r="F281" s="30"/>
    </row>
    <row r="282" spans="1:6" ht="19.95" customHeight="1">
      <c r="A282" s="33"/>
      <c r="B282" s="29"/>
      <c r="C282" s="29"/>
      <c r="D282" s="29"/>
      <c r="E282" s="30"/>
      <c r="F282" s="30"/>
    </row>
    <row r="283" spans="1:6" ht="19.95" customHeight="1">
      <c r="A283" s="103" t="s">
        <v>91</v>
      </c>
      <c r="B283" s="29">
        <v>1</v>
      </c>
      <c r="C283" s="29">
        <v>8.8000000000000007</v>
      </c>
      <c r="D283" s="29">
        <v>1.02</v>
      </c>
      <c r="E283" s="30">
        <f t="shared" ref="E283:E290" si="1">D283*C283*B283</f>
        <v>8.9760000000000009</v>
      </c>
      <c r="F283" s="30"/>
    </row>
    <row r="284" spans="1:6" ht="19.95" customHeight="1">
      <c r="A284" s="33" t="s">
        <v>92</v>
      </c>
      <c r="B284" s="29">
        <v>1</v>
      </c>
      <c r="C284" s="29">
        <v>8.8000000000000007</v>
      </c>
      <c r="D284" s="29">
        <v>0.185</v>
      </c>
      <c r="E284" s="30">
        <f t="shared" si="1"/>
        <v>1.6280000000000001</v>
      </c>
      <c r="F284" s="30"/>
    </row>
    <row r="285" spans="1:6" ht="19.95" customHeight="1">
      <c r="A285" s="42" t="s">
        <v>69</v>
      </c>
      <c r="B285" s="29">
        <v>1</v>
      </c>
      <c r="C285" s="29">
        <v>2.4950000000000001</v>
      </c>
      <c r="D285" s="29">
        <v>1.02</v>
      </c>
      <c r="E285" s="30">
        <f t="shared" si="1"/>
        <v>2.5449000000000002</v>
      </c>
      <c r="F285" s="30"/>
    </row>
    <row r="286" spans="1:6" ht="19.95" customHeight="1">
      <c r="A286" s="42" t="s">
        <v>66</v>
      </c>
      <c r="B286" s="29">
        <v>1</v>
      </c>
      <c r="C286" s="29">
        <v>2.4950000000000001</v>
      </c>
      <c r="D286" s="29">
        <v>0.185</v>
      </c>
      <c r="E286" s="30">
        <f t="shared" si="1"/>
        <v>0.46157500000000001</v>
      </c>
      <c r="F286" s="30"/>
    </row>
    <row r="287" spans="1:6" ht="19.95" customHeight="1">
      <c r="A287" s="42" t="s">
        <v>70</v>
      </c>
      <c r="B287" s="29">
        <v>1</v>
      </c>
      <c r="C287" s="29">
        <v>0.45500000000000002</v>
      </c>
      <c r="D287" s="29">
        <v>1.02</v>
      </c>
      <c r="E287" s="30">
        <f t="shared" si="1"/>
        <v>0.46410000000000001</v>
      </c>
      <c r="F287" s="30"/>
    </row>
    <row r="288" spans="1:6" ht="19.95" customHeight="1">
      <c r="A288" s="42" t="s">
        <v>67</v>
      </c>
      <c r="B288" s="29">
        <v>1</v>
      </c>
      <c r="C288" s="29">
        <v>0.45500000000000002</v>
      </c>
      <c r="D288" s="29">
        <v>0.185</v>
      </c>
      <c r="E288" s="30">
        <f t="shared" si="1"/>
        <v>8.4175E-2</v>
      </c>
      <c r="F288" s="30"/>
    </row>
    <row r="289" spans="1:6" ht="19.95" customHeight="1">
      <c r="A289" s="42" t="s">
        <v>71</v>
      </c>
      <c r="B289" s="29">
        <v>1</v>
      </c>
      <c r="C289" s="29">
        <v>1.105</v>
      </c>
      <c r="D289" s="29">
        <v>1.02</v>
      </c>
      <c r="E289" s="30">
        <f t="shared" si="1"/>
        <v>1.1271</v>
      </c>
      <c r="F289" s="30"/>
    </row>
    <row r="290" spans="1:6" ht="19.95" customHeight="1">
      <c r="A290" s="42" t="s">
        <v>68</v>
      </c>
      <c r="B290" s="29">
        <v>1</v>
      </c>
      <c r="C290" s="29">
        <v>1.105</v>
      </c>
      <c r="D290" s="29">
        <v>0.185</v>
      </c>
      <c r="E290" s="30">
        <f t="shared" si="1"/>
        <v>0.204425</v>
      </c>
      <c r="F290" s="30"/>
    </row>
    <row r="291" spans="1:6" ht="19.95" customHeight="1">
      <c r="A291" s="33"/>
      <c r="B291" s="29"/>
      <c r="C291" s="29"/>
      <c r="D291" s="29"/>
      <c r="E291" s="30"/>
      <c r="F291" s="30"/>
    </row>
    <row r="292" spans="1:6" ht="19.95" customHeight="1">
      <c r="A292" s="103" t="s">
        <v>94</v>
      </c>
      <c r="B292" s="29">
        <v>1</v>
      </c>
      <c r="C292" s="29">
        <v>14.85</v>
      </c>
      <c r="D292" s="29">
        <v>1.02</v>
      </c>
      <c r="E292" s="30">
        <f>D292*C292*B292</f>
        <v>15.147</v>
      </c>
      <c r="F292" s="30"/>
    </row>
    <row r="293" spans="1:6" ht="19.95" customHeight="1">
      <c r="A293" s="33" t="s">
        <v>95</v>
      </c>
      <c r="B293" s="29">
        <v>1</v>
      </c>
      <c r="C293" s="29">
        <v>9.73</v>
      </c>
      <c r="D293" s="29">
        <v>0.14000000000000001</v>
      </c>
      <c r="E293" s="30"/>
      <c r="F293" s="30">
        <f>D293*C293*B293</f>
        <v>1.3622000000000003</v>
      </c>
    </row>
    <row r="294" spans="1:6" ht="19.95" customHeight="1">
      <c r="A294" s="99" t="s">
        <v>96</v>
      </c>
      <c r="B294" s="29">
        <v>1</v>
      </c>
      <c r="C294" s="29">
        <v>3.65</v>
      </c>
      <c r="D294" s="29">
        <v>0.185</v>
      </c>
      <c r="E294" s="30">
        <f>D294*C294*B294</f>
        <v>0.67525000000000002</v>
      </c>
      <c r="F294" s="30"/>
    </row>
    <row r="295" spans="1:6" ht="19.95" customHeight="1">
      <c r="A295" s="99" t="s">
        <v>97</v>
      </c>
      <c r="B295" s="29">
        <v>1</v>
      </c>
      <c r="C295" s="29">
        <v>1.85</v>
      </c>
      <c r="D295" s="29">
        <v>0.185</v>
      </c>
      <c r="E295" s="30">
        <f>D295*C295*B295</f>
        <v>0.34225</v>
      </c>
      <c r="F295" s="30"/>
    </row>
    <row r="296" spans="1:6" ht="19.95" customHeight="1">
      <c r="A296" s="42" t="s">
        <v>69</v>
      </c>
      <c r="B296" s="29">
        <v>1</v>
      </c>
      <c r="C296" s="29">
        <v>1.33</v>
      </c>
      <c r="D296" s="29">
        <v>1.02</v>
      </c>
      <c r="E296" s="30">
        <f t="shared" ref="E296:E298" si="2">D296*C296*B296</f>
        <v>1.3566</v>
      </c>
      <c r="F296" s="30"/>
    </row>
    <row r="297" spans="1:6" ht="19.95" customHeight="1">
      <c r="A297" s="42" t="s">
        <v>66</v>
      </c>
      <c r="B297" s="29">
        <v>1</v>
      </c>
      <c r="C297" s="29">
        <v>1.33</v>
      </c>
      <c r="D297" s="29">
        <v>0.185</v>
      </c>
      <c r="E297" s="30">
        <f t="shared" si="2"/>
        <v>0.24605000000000002</v>
      </c>
      <c r="F297" s="30"/>
    </row>
    <row r="298" spans="1:6" ht="19.95" customHeight="1">
      <c r="A298" s="36" t="s">
        <v>98</v>
      </c>
      <c r="B298" s="30">
        <v>2</v>
      </c>
      <c r="C298" s="29">
        <v>0.185</v>
      </c>
      <c r="D298" s="29">
        <v>0.14000000000000001</v>
      </c>
      <c r="E298" s="30">
        <f t="shared" si="2"/>
        <v>5.1800000000000006E-2</v>
      </c>
      <c r="F298" s="30"/>
    </row>
    <row r="299" spans="1:6" ht="19.95" customHeight="1">
      <c r="A299" s="36"/>
      <c r="B299" s="30"/>
      <c r="C299" s="29"/>
      <c r="D299" s="29"/>
      <c r="E299" s="30"/>
      <c r="F299" s="30"/>
    </row>
    <row r="300" spans="1:6" ht="19.95" customHeight="1" thickBot="1">
      <c r="A300" s="36"/>
      <c r="B300" s="30"/>
      <c r="C300" s="29"/>
      <c r="D300" s="70"/>
      <c r="E300" s="87"/>
      <c r="F300" s="87"/>
    </row>
    <row r="301" spans="1:6" ht="19.95" customHeight="1" thickBot="1">
      <c r="A301" s="36"/>
      <c r="B301" s="30"/>
      <c r="C301" s="69"/>
      <c r="D301" s="71" t="s">
        <v>33</v>
      </c>
      <c r="E301" s="89">
        <f>SUM(E272:E300)</f>
        <v>61.116425</v>
      </c>
      <c r="F301" s="73">
        <f>SUM(F272:F300)</f>
        <v>3.2602500000000001</v>
      </c>
    </row>
    <row r="302" spans="1:6" ht="19.95" customHeight="1" thickBot="1">
      <c r="A302" s="36"/>
      <c r="B302" s="30"/>
      <c r="C302" s="30"/>
      <c r="D302" s="75"/>
      <c r="E302" s="75"/>
      <c r="F302" s="75"/>
    </row>
    <row r="303" spans="1:6" ht="19.95" customHeight="1" thickBot="1">
      <c r="A303" s="40"/>
      <c r="B303" s="30"/>
      <c r="C303" s="39"/>
      <c r="D303" s="90" t="s">
        <v>33</v>
      </c>
      <c r="E303" s="91">
        <f>E301-F301</f>
        <v>57.856175</v>
      </c>
      <c r="F303" s="78" t="s">
        <v>6</v>
      </c>
    </row>
    <row r="304" spans="1:6" ht="19.95" customHeight="1">
      <c r="A304" s="154" t="s">
        <v>7</v>
      </c>
      <c r="B304" s="154"/>
      <c r="C304" s="154"/>
      <c r="D304" s="156"/>
      <c r="E304" s="156"/>
      <c r="F304" s="156"/>
    </row>
    <row r="305" spans="1:11" ht="19.95" customHeight="1">
      <c r="A305" s="19"/>
      <c r="B305" s="20"/>
      <c r="C305" s="20"/>
      <c r="D305" s="20"/>
      <c r="E305" s="21"/>
      <c r="F305" s="22"/>
    </row>
    <row r="306" spans="1:11" ht="19.95" customHeight="1">
      <c r="A306" s="23" t="s">
        <v>14</v>
      </c>
      <c r="E306" s="7" t="s">
        <v>0</v>
      </c>
      <c r="F306" s="8">
        <v>8</v>
      </c>
    </row>
    <row r="307" spans="1:11" ht="19.95" customHeight="1">
      <c r="A307" s="23" t="s">
        <v>99</v>
      </c>
      <c r="F307" s="24"/>
    </row>
    <row r="308" spans="1:11" ht="19.95" customHeight="1">
      <c r="A308" s="25"/>
      <c r="B308" s="26"/>
      <c r="C308" s="26"/>
      <c r="D308" s="26"/>
      <c r="E308" s="26"/>
      <c r="F308" s="27"/>
    </row>
    <row r="309" spans="1:11" ht="19.95" customHeight="1" thickBot="1">
      <c r="A309" s="13" t="s">
        <v>8</v>
      </c>
      <c r="B309" s="13" t="s">
        <v>9</v>
      </c>
      <c r="C309" s="13" t="s">
        <v>10</v>
      </c>
      <c r="D309" s="13" t="s">
        <v>11</v>
      </c>
      <c r="E309" s="13" t="s">
        <v>12</v>
      </c>
      <c r="F309" s="13" t="s">
        <v>13</v>
      </c>
    </row>
    <row r="310" spans="1:11" ht="19.95" customHeight="1" thickBot="1">
      <c r="A310" s="101" t="s">
        <v>100</v>
      </c>
      <c r="B310" s="29"/>
      <c r="C310" s="29"/>
      <c r="D310" s="29"/>
      <c r="E310" s="29"/>
      <c r="F310" s="30"/>
    </row>
    <row r="311" spans="1:11" ht="19.95" customHeight="1">
      <c r="A311" s="102" t="s">
        <v>101</v>
      </c>
      <c r="B311" s="29">
        <v>1</v>
      </c>
      <c r="C311" s="29">
        <v>6.93</v>
      </c>
      <c r="D311" s="29">
        <v>4.82</v>
      </c>
      <c r="E311" s="29">
        <f>D311*C311*B311</f>
        <v>33.4026</v>
      </c>
      <c r="F311" s="30"/>
    </row>
    <row r="312" spans="1:11" ht="19.95" customHeight="1">
      <c r="A312" s="31" t="s">
        <v>102</v>
      </c>
      <c r="B312" s="29">
        <v>1</v>
      </c>
      <c r="C312" s="29">
        <v>0.15</v>
      </c>
      <c r="D312" s="29">
        <v>2.13</v>
      </c>
      <c r="E312" s="29"/>
      <c r="F312" s="29">
        <f>D312*C312*B312</f>
        <v>0.31949999999999995</v>
      </c>
    </row>
    <row r="313" spans="1:11" ht="19.95" customHeight="1">
      <c r="A313" s="31" t="s">
        <v>103</v>
      </c>
      <c r="B313" s="29">
        <v>1</v>
      </c>
      <c r="C313" s="29">
        <v>0.185</v>
      </c>
      <c r="D313" s="29">
        <v>1.05</v>
      </c>
      <c r="E313" s="29"/>
      <c r="F313" s="29">
        <f>D313*C313*B313</f>
        <v>0.19425000000000001</v>
      </c>
    </row>
    <row r="314" spans="1:11" ht="19.95" customHeight="1">
      <c r="A314" s="31" t="s">
        <v>74</v>
      </c>
      <c r="B314" s="29">
        <v>1</v>
      </c>
      <c r="C314" s="29">
        <v>5.5E-2</v>
      </c>
      <c r="D314" s="29">
        <v>1.9</v>
      </c>
      <c r="E314" s="29">
        <f>D314*C314*B314</f>
        <v>0.1045</v>
      </c>
      <c r="F314" s="29"/>
    </row>
    <row r="315" spans="1:11" ht="19.95" customHeight="1">
      <c r="A315" s="31" t="s">
        <v>75</v>
      </c>
      <c r="B315" s="29">
        <v>1</v>
      </c>
      <c r="C315" s="29">
        <v>5.5E-2</v>
      </c>
      <c r="D315" s="29">
        <v>1.73</v>
      </c>
      <c r="E315" s="29">
        <f>D315*C315*B315</f>
        <v>9.5149999999999998E-2</v>
      </c>
      <c r="F315" s="29"/>
    </row>
    <row r="316" spans="1:11" ht="19.95" customHeight="1">
      <c r="A316" s="31"/>
      <c r="B316" s="29"/>
      <c r="C316" s="29"/>
      <c r="D316" s="29"/>
      <c r="E316" s="14"/>
      <c r="F316" s="30"/>
      <c r="K316" s="105"/>
    </row>
    <row r="317" spans="1:11" ht="19.95" customHeight="1">
      <c r="A317" s="102" t="s">
        <v>104</v>
      </c>
      <c r="B317" s="29">
        <v>1</v>
      </c>
      <c r="C317" s="29">
        <v>3.66</v>
      </c>
      <c r="D317" s="29">
        <v>3</v>
      </c>
      <c r="E317" s="30">
        <f>D317*C317*B317</f>
        <v>10.98</v>
      </c>
      <c r="F317" s="30"/>
    </row>
    <row r="318" spans="1:11" ht="19.95" customHeight="1">
      <c r="A318" s="28" t="s">
        <v>105</v>
      </c>
      <c r="B318" s="29">
        <v>1</v>
      </c>
      <c r="C318" s="29">
        <v>0.05</v>
      </c>
      <c r="D318" s="29">
        <v>1.075</v>
      </c>
      <c r="E318" s="30"/>
      <c r="F318" s="30">
        <f>D318*C318*B318</f>
        <v>5.3749999999999999E-2</v>
      </c>
    </row>
    <row r="319" spans="1:11" ht="19.95" customHeight="1">
      <c r="A319" s="31"/>
      <c r="B319" s="29"/>
      <c r="C319" s="29"/>
      <c r="D319" s="29"/>
      <c r="E319" s="30"/>
      <c r="F319" s="30"/>
    </row>
    <row r="320" spans="1:11" ht="19.95" customHeight="1">
      <c r="A320" s="102" t="s">
        <v>106</v>
      </c>
      <c r="B320" s="29">
        <v>1</v>
      </c>
      <c r="C320" s="29">
        <v>8.7899999999999991</v>
      </c>
      <c r="D320" s="29">
        <v>1.05</v>
      </c>
      <c r="E320" s="14">
        <f>D320*C320*B320</f>
        <v>9.2294999999999998</v>
      </c>
      <c r="F320" s="30"/>
    </row>
    <row r="321" spans="1:6" ht="19.95" customHeight="1">
      <c r="A321" s="31" t="s">
        <v>107</v>
      </c>
      <c r="B321" s="29">
        <v>1</v>
      </c>
      <c r="C321" s="29">
        <v>0.185</v>
      </c>
      <c r="D321" s="29">
        <v>8.9600000000000009</v>
      </c>
      <c r="E321" s="14">
        <f>D321*C321*B321</f>
        <v>1.6576000000000002</v>
      </c>
      <c r="F321" s="30"/>
    </row>
    <row r="322" spans="1:6" ht="19.95" customHeight="1">
      <c r="A322" s="42" t="s">
        <v>69</v>
      </c>
      <c r="B322" s="29">
        <v>1</v>
      </c>
      <c r="C322" s="29">
        <v>0.45</v>
      </c>
      <c r="D322" s="29">
        <v>1.05</v>
      </c>
      <c r="E322" s="30">
        <f t="shared" ref="E322:E324" si="3">D322*C322*B322</f>
        <v>0.47250000000000003</v>
      </c>
      <c r="F322" s="30"/>
    </row>
    <row r="323" spans="1:6" ht="19.95" customHeight="1">
      <c r="A323" s="42" t="s">
        <v>66</v>
      </c>
      <c r="B323" s="29">
        <v>1</v>
      </c>
      <c r="C323" s="29">
        <v>0.45</v>
      </c>
      <c r="D323" s="29">
        <v>0.185</v>
      </c>
      <c r="E323" s="30">
        <f t="shared" si="3"/>
        <v>8.3250000000000005E-2</v>
      </c>
      <c r="F323" s="30"/>
    </row>
    <row r="324" spans="1:6" ht="19.95" customHeight="1">
      <c r="A324" s="36" t="s">
        <v>98</v>
      </c>
      <c r="B324" s="30">
        <v>1</v>
      </c>
      <c r="C324" s="29">
        <v>0.51500000000000001</v>
      </c>
      <c r="D324" s="29">
        <v>1.05</v>
      </c>
      <c r="E324" s="30">
        <f t="shared" si="3"/>
        <v>0.54075000000000006</v>
      </c>
      <c r="F324" s="30"/>
    </row>
    <row r="325" spans="1:6" ht="19.95" customHeight="1">
      <c r="A325" s="42" t="s">
        <v>67</v>
      </c>
      <c r="B325" s="29">
        <v>1</v>
      </c>
      <c r="C325" s="29">
        <v>0.51500000000000001</v>
      </c>
      <c r="D325" s="29">
        <v>0.185</v>
      </c>
      <c r="E325" s="30">
        <f t="shared" ref="E325" si="4">D325*C325*B325</f>
        <v>9.5274999999999999E-2</v>
      </c>
      <c r="F325" s="30"/>
    </row>
    <row r="326" spans="1:6" ht="19.95" customHeight="1">
      <c r="A326" s="31"/>
      <c r="B326" s="29"/>
      <c r="C326" s="29"/>
      <c r="D326" s="29"/>
      <c r="E326" s="14"/>
      <c r="F326" s="30"/>
    </row>
    <row r="327" spans="1:6" ht="19.95" customHeight="1">
      <c r="A327" s="102" t="s">
        <v>108</v>
      </c>
      <c r="B327" s="29">
        <v>1</v>
      </c>
      <c r="C327" s="29">
        <v>16.760000000000002</v>
      </c>
      <c r="D327" s="29">
        <v>1.05</v>
      </c>
      <c r="E327" s="30">
        <f>D327*C327*B327</f>
        <v>17.598000000000003</v>
      </c>
      <c r="F327" s="30"/>
    </row>
    <row r="328" spans="1:6" ht="19.95" customHeight="1">
      <c r="A328" s="33" t="s">
        <v>109</v>
      </c>
      <c r="B328" s="29">
        <v>1</v>
      </c>
      <c r="C328" s="29">
        <v>16.760000000000002</v>
      </c>
      <c r="D328" s="29">
        <v>0.185</v>
      </c>
      <c r="E328" s="30">
        <f t="shared" ref="E328:E334" si="5">D328*C328*B328</f>
        <v>3.1006000000000005</v>
      </c>
      <c r="F328" s="30"/>
    </row>
    <row r="329" spans="1:6" ht="19.95" customHeight="1">
      <c r="A329" s="42" t="s">
        <v>69</v>
      </c>
      <c r="B329" s="29">
        <v>1</v>
      </c>
      <c r="C329" s="29">
        <v>2.3650000000000002</v>
      </c>
      <c r="D329" s="29">
        <v>1.05</v>
      </c>
      <c r="E329" s="30">
        <f t="shared" si="5"/>
        <v>2.4832500000000004</v>
      </c>
      <c r="F329" s="30"/>
    </row>
    <row r="330" spans="1:6" ht="19.95" customHeight="1">
      <c r="A330" s="42" t="s">
        <v>66</v>
      </c>
      <c r="B330" s="29">
        <v>1</v>
      </c>
      <c r="C330" s="29">
        <v>2.3650000000000002</v>
      </c>
      <c r="D330" s="29">
        <v>0.185</v>
      </c>
      <c r="E330" s="30">
        <f t="shared" si="5"/>
        <v>0.43752500000000005</v>
      </c>
      <c r="F330" s="30"/>
    </row>
    <row r="331" spans="1:6" ht="19.95" customHeight="1">
      <c r="A331" s="42" t="s">
        <v>70</v>
      </c>
      <c r="B331" s="29">
        <v>1</v>
      </c>
      <c r="C331" s="29">
        <v>0.31</v>
      </c>
      <c r="D331" s="29">
        <v>1.05</v>
      </c>
      <c r="E331" s="30">
        <f t="shared" si="5"/>
        <v>0.32550000000000001</v>
      </c>
      <c r="F331" s="30"/>
    </row>
    <row r="332" spans="1:6" ht="19.95" customHeight="1">
      <c r="A332" s="42" t="s">
        <v>67</v>
      </c>
      <c r="B332" s="29">
        <v>1</v>
      </c>
      <c r="C332" s="29">
        <v>0.31</v>
      </c>
      <c r="D332" s="29">
        <v>0.185</v>
      </c>
      <c r="E332" s="30">
        <f t="shared" si="5"/>
        <v>5.7349999999999998E-2</v>
      </c>
      <c r="F332" s="30"/>
    </row>
    <row r="333" spans="1:6" ht="19.95" customHeight="1">
      <c r="A333" s="42" t="s">
        <v>71</v>
      </c>
      <c r="B333" s="29">
        <v>1</v>
      </c>
      <c r="C333" s="29">
        <v>0.31</v>
      </c>
      <c r="D333" s="29">
        <v>1.05</v>
      </c>
      <c r="E333" s="30">
        <f t="shared" si="5"/>
        <v>0.32550000000000001</v>
      </c>
      <c r="F333" s="30"/>
    </row>
    <row r="334" spans="1:6" ht="19.95" customHeight="1">
      <c r="A334" s="42" t="s">
        <v>68</v>
      </c>
      <c r="B334" s="29">
        <v>1</v>
      </c>
      <c r="C334" s="29">
        <v>0.31</v>
      </c>
      <c r="D334" s="29">
        <v>0.185</v>
      </c>
      <c r="E334" s="30">
        <f t="shared" si="5"/>
        <v>5.7349999999999998E-2</v>
      </c>
      <c r="F334" s="30"/>
    </row>
    <row r="335" spans="1:6" ht="19.95" customHeight="1">
      <c r="A335" s="42" t="s">
        <v>110</v>
      </c>
      <c r="B335" s="29">
        <v>1</v>
      </c>
      <c r="C335" s="29">
        <v>2.36</v>
      </c>
      <c r="D335" s="29">
        <v>1.05</v>
      </c>
      <c r="E335" s="30">
        <f t="shared" ref="E335:E336" si="6">D335*C335*B335</f>
        <v>2.4779999999999998</v>
      </c>
      <c r="F335" s="30"/>
    </row>
    <row r="336" spans="1:6" ht="19.95" customHeight="1">
      <c r="A336" s="42" t="s">
        <v>111</v>
      </c>
      <c r="B336" s="29">
        <v>1</v>
      </c>
      <c r="C336" s="29">
        <v>2.36</v>
      </c>
      <c r="D336" s="29">
        <v>0.185</v>
      </c>
      <c r="E336" s="30">
        <f t="shared" si="6"/>
        <v>0.43659999999999999</v>
      </c>
      <c r="F336" s="30"/>
    </row>
    <row r="337" spans="1:6" ht="19.95" customHeight="1">
      <c r="A337" s="34"/>
      <c r="B337" s="14"/>
      <c r="C337" s="29"/>
      <c r="D337" s="29"/>
      <c r="E337" s="30"/>
      <c r="F337" s="30"/>
    </row>
    <row r="338" spans="1:6" ht="19.95" customHeight="1" thickBot="1">
      <c r="A338" s="38"/>
      <c r="B338" s="14"/>
      <c r="C338" s="29"/>
      <c r="D338" s="70"/>
      <c r="E338" s="87"/>
      <c r="F338" s="87"/>
    </row>
    <row r="339" spans="1:6" ht="19.95" customHeight="1" thickBot="1">
      <c r="A339" s="34"/>
      <c r="B339" s="14"/>
      <c r="C339" s="69"/>
      <c r="D339" s="71" t="s">
        <v>33</v>
      </c>
      <c r="E339" s="89">
        <f>SUM(E310:E338)</f>
        <v>83.960800000000006</v>
      </c>
      <c r="F339" s="73">
        <f>SUM(F310:F338)</f>
        <v>0.56749999999999989</v>
      </c>
    </row>
    <row r="340" spans="1:6" ht="19.95" customHeight="1" thickBot="1">
      <c r="A340" s="38"/>
      <c r="B340" s="14"/>
      <c r="C340" s="29"/>
      <c r="D340" s="74"/>
      <c r="E340" s="75"/>
      <c r="F340" s="75"/>
    </row>
    <row r="341" spans="1:6" ht="19.95" customHeight="1" thickBot="1">
      <c r="A341" s="34"/>
      <c r="B341" s="14"/>
      <c r="C341" s="15"/>
      <c r="D341" s="85" t="s">
        <v>33</v>
      </c>
      <c r="E341" s="18">
        <f>E339-F339</f>
        <v>83.393300000000011</v>
      </c>
      <c r="F341" s="86" t="s">
        <v>6</v>
      </c>
    </row>
    <row r="342" spans="1:6" ht="19.95" customHeight="1">
      <c r="A342" s="154" t="s">
        <v>7</v>
      </c>
      <c r="B342" s="154"/>
      <c r="C342" s="154"/>
      <c r="D342" s="156"/>
      <c r="E342" s="156"/>
      <c r="F342" s="156"/>
    </row>
    <row r="343" spans="1:6" ht="19.95" customHeight="1">
      <c r="A343" s="19"/>
      <c r="B343" s="20"/>
      <c r="C343" s="20"/>
      <c r="D343" s="20"/>
      <c r="E343" s="21"/>
      <c r="F343" s="22"/>
    </row>
    <row r="344" spans="1:6" ht="19.95" customHeight="1">
      <c r="A344" s="23" t="s">
        <v>14</v>
      </c>
      <c r="E344" s="7" t="s">
        <v>0</v>
      </c>
      <c r="F344" s="8">
        <v>9</v>
      </c>
    </row>
    <row r="345" spans="1:6" ht="19.95" customHeight="1">
      <c r="A345" s="23" t="s">
        <v>99</v>
      </c>
      <c r="F345" s="24"/>
    </row>
    <row r="346" spans="1:6" ht="19.95" customHeight="1">
      <c r="A346" s="25"/>
      <c r="B346" s="26"/>
      <c r="C346" s="26"/>
      <c r="D346" s="26"/>
      <c r="E346" s="26"/>
      <c r="F346" s="27"/>
    </row>
    <row r="347" spans="1:6" ht="19.95" customHeight="1" thickBot="1">
      <c r="A347" s="13" t="s">
        <v>8</v>
      </c>
      <c r="B347" s="13" t="s">
        <v>9</v>
      </c>
      <c r="C347" s="13" t="s">
        <v>10</v>
      </c>
      <c r="D347" s="13" t="s">
        <v>11</v>
      </c>
      <c r="E347" s="13" t="s">
        <v>12</v>
      </c>
      <c r="F347" s="13" t="s">
        <v>13</v>
      </c>
    </row>
    <row r="348" spans="1:6" ht="19.95" customHeight="1" thickBot="1">
      <c r="A348" s="101" t="s">
        <v>100</v>
      </c>
      <c r="B348" s="45"/>
      <c r="C348" s="45"/>
      <c r="D348" s="45"/>
      <c r="E348" s="14"/>
      <c r="F348" s="14"/>
    </row>
    <row r="349" spans="1:6" ht="19.95" customHeight="1">
      <c r="A349" s="102" t="s">
        <v>112</v>
      </c>
      <c r="B349" s="29">
        <v>1</v>
      </c>
      <c r="C349" s="29">
        <v>8.84</v>
      </c>
      <c r="D349" s="29">
        <v>1.05</v>
      </c>
      <c r="E349" s="29">
        <f>D349*C349*B349</f>
        <v>9.282</v>
      </c>
      <c r="F349" s="30"/>
    </row>
    <row r="350" spans="1:6" ht="19.95" customHeight="1">
      <c r="A350" s="33" t="s">
        <v>92</v>
      </c>
      <c r="B350" s="29">
        <v>1</v>
      </c>
      <c r="C350" s="29">
        <v>9</v>
      </c>
      <c r="D350" s="29">
        <v>0.185</v>
      </c>
      <c r="E350" s="14">
        <f>D350*C350*B350</f>
        <v>1.665</v>
      </c>
      <c r="F350" s="29"/>
    </row>
    <row r="351" spans="1:6" ht="19.95" customHeight="1">
      <c r="A351" s="42" t="s">
        <v>69</v>
      </c>
      <c r="B351" s="29">
        <v>1</v>
      </c>
      <c r="C351" s="29">
        <v>0.33</v>
      </c>
      <c r="D351" s="29">
        <v>1.05</v>
      </c>
      <c r="E351" s="30">
        <f t="shared" ref="E351:E359" si="7">D351*C351*B351</f>
        <v>0.34650000000000003</v>
      </c>
      <c r="F351" s="30"/>
    </row>
    <row r="352" spans="1:6" ht="19.95" customHeight="1">
      <c r="A352" s="42" t="s">
        <v>66</v>
      </c>
      <c r="B352" s="29">
        <v>1</v>
      </c>
      <c r="C352" s="29">
        <v>0.33</v>
      </c>
      <c r="D352" s="29">
        <v>0.185</v>
      </c>
      <c r="E352" s="30">
        <f t="shared" si="7"/>
        <v>6.105E-2</v>
      </c>
      <c r="F352" s="29"/>
    </row>
    <row r="353" spans="1:6" ht="19.95" customHeight="1">
      <c r="A353" s="42" t="s">
        <v>70</v>
      </c>
      <c r="B353" s="29">
        <v>1</v>
      </c>
      <c r="C353" s="29">
        <v>0.5</v>
      </c>
      <c r="D353" s="29">
        <v>1.05</v>
      </c>
      <c r="E353" s="30">
        <f t="shared" si="7"/>
        <v>0.52500000000000002</v>
      </c>
      <c r="F353" s="29"/>
    </row>
    <row r="354" spans="1:6" ht="19.95" customHeight="1">
      <c r="A354" s="42" t="s">
        <v>67</v>
      </c>
      <c r="B354" s="29">
        <v>1</v>
      </c>
      <c r="C354" s="29">
        <v>0.5</v>
      </c>
      <c r="D354" s="29">
        <v>0.185</v>
      </c>
      <c r="E354" s="30">
        <f t="shared" si="7"/>
        <v>9.2499999999999999E-2</v>
      </c>
      <c r="F354" s="29"/>
    </row>
    <row r="355" spans="1:6" ht="19.95" customHeight="1">
      <c r="A355" s="42" t="s">
        <v>71</v>
      </c>
      <c r="B355" s="29">
        <v>1</v>
      </c>
      <c r="C355" s="29">
        <v>0.45500000000000002</v>
      </c>
      <c r="D355" s="29">
        <v>1.05</v>
      </c>
      <c r="E355" s="30">
        <f t="shared" si="7"/>
        <v>0.47775000000000006</v>
      </c>
      <c r="F355" s="29"/>
    </row>
    <row r="356" spans="1:6" ht="19.95" customHeight="1">
      <c r="A356" s="42" t="s">
        <v>68</v>
      </c>
      <c r="B356" s="29">
        <v>1</v>
      </c>
      <c r="C356" s="29">
        <v>0.45500000000000002</v>
      </c>
      <c r="D356" s="29">
        <v>0.185</v>
      </c>
      <c r="E356" s="30">
        <f t="shared" si="7"/>
        <v>8.4175E-2</v>
      </c>
      <c r="F356" s="29"/>
    </row>
    <row r="357" spans="1:6" ht="19.95" customHeight="1">
      <c r="A357" s="42" t="s">
        <v>110</v>
      </c>
      <c r="B357" s="29">
        <v>1</v>
      </c>
      <c r="C357" s="29">
        <v>2.6949999999999998</v>
      </c>
      <c r="D357" s="29">
        <v>1.05</v>
      </c>
      <c r="E357" s="30">
        <f t="shared" si="7"/>
        <v>2.8297499999999998</v>
      </c>
      <c r="F357" s="29"/>
    </row>
    <row r="358" spans="1:6" ht="19.95" customHeight="1">
      <c r="A358" s="42" t="s">
        <v>111</v>
      </c>
      <c r="B358" s="29">
        <v>1</v>
      </c>
      <c r="C358" s="29">
        <v>2.6949999999999998</v>
      </c>
      <c r="D358" s="29">
        <v>0.185</v>
      </c>
      <c r="E358" s="30">
        <f t="shared" si="7"/>
        <v>0.49857499999999999</v>
      </c>
      <c r="F358" s="29"/>
    </row>
    <row r="359" spans="1:6" ht="19.95" customHeight="1">
      <c r="A359" s="33" t="s">
        <v>113</v>
      </c>
      <c r="B359" s="29">
        <v>1</v>
      </c>
      <c r="C359" s="29">
        <v>7.0000000000000007E-2</v>
      </c>
      <c r="D359" s="29">
        <v>8.5000000000000006E-2</v>
      </c>
      <c r="E359" s="14">
        <f t="shared" si="7"/>
        <v>5.9500000000000013E-3</v>
      </c>
      <c r="F359" s="29"/>
    </row>
    <row r="360" spans="1:6" ht="19.95" customHeight="1">
      <c r="A360" s="33"/>
      <c r="B360" s="29"/>
      <c r="C360" s="29"/>
      <c r="D360" s="29"/>
      <c r="E360" s="14"/>
      <c r="F360" s="29"/>
    </row>
    <row r="361" spans="1:6" ht="19.95" customHeight="1">
      <c r="A361" s="103" t="s">
        <v>114</v>
      </c>
      <c r="B361" s="29">
        <v>1</v>
      </c>
      <c r="C361" s="29">
        <v>4.24</v>
      </c>
      <c r="D361" s="29">
        <v>3</v>
      </c>
      <c r="E361" s="14">
        <f>D361*C361*B361</f>
        <v>12.72</v>
      </c>
      <c r="F361" s="29"/>
    </row>
    <row r="362" spans="1:6" ht="19.95" customHeight="1">
      <c r="A362" s="33" t="s">
        <v>115</v>
      </c>
      <c r="B362" s="29">
        <v>1</v>
      </c>
      <c r="C362" s="29">
        <v>1</v>
      </c>
      <c r="D362" s="29">
        <v>1.87</v>
      </c>
      <c r="E362" s="14"/>
      <c r="F362" s="29">
        <f>D362*C362*B362</f>
        <v>1.87</v>
      </c>
    </row>
    <row r="363" spans="1:6" ht="19.95" customHeight="1">
      <c r="A363" s="33" t="s">
        <v>85</v>
      </c>
      <c r="B363" s="29">
        <v>2</v>
      </c>
      <c r="C363" s="29">
        <v>0.24</v>
      </c>
      <c r="D363" s="29">
        <v>1.87</v>
      </c>
      <c r="E363" s="14">
        <f>D363*C363*B363</f>
        <v>0.89760000000000006</v>
      </c>
      <c r="F363" s="29"/>
    </row>
    <row r="364" spans="1:6" ht="19.95" customHeight="1">
      <c r="A364" s="33" t="s">
        <v>86</v>
      </c>
      <c r="B364" s="29">
        <v>1</v>
      </c>
      <c r="C364" s="29">
        <v>0.24</v>
      </c>
      <c r="D364" s="29">
        <v>1</v>
      </c>
      <c r="E364" s="14">
        <f>D364*C364*B364</f>
        <v>0.24</v>
      </c>
      <c r="F364" s="29"/>
    </row>
    <row r="365" spans="1:6" ht="19.95" customHeight="1">
      <c r="A365" s="33" t="s">
        <v>116</v>
      </c>
      <c r="B365" s="29">
        <v>2</v>
      </c>
      <c r="C365" s="29">
        <v>1.4550000000000001</v>
      </c>
      <c r="D365" s="29">
        <v>0.44500000000000001</v>
      </c>
      <c r="E365" s="14">
        <f>D365*C365*B365</f>
        <v>1.29495</v>
      </c>
      <c r="F365" s="29"/>
    </row>
    <row r="366" spans="1:6" ht="19.95" customHeight="1">
      <c r="A366" s="31"/>
      <c r="B366" s="29"/>
      <c r="C366" s="29"/>
      <c r="D366" s="29"/>
      <c r="E366" s="14"/>
      <c r="F366" s="14"/>
    </row>
    <row r="367" spans="1:6" ht="19.95" customHeight="1">
      <c r="A367" s="102" t="s">
        <v>117</v>
      </c>
      <c r="B367" s="29">
        <v>1</v>
      </c>
      <c r="C367" s="29">
        <v>3.6</v>
      </c>
      <c r="D367" s="29">
        <v>3</v>
      </c>
      <c r="E367" s="14">
        <f>D367*C367*B367</f>
        <v>10.8</v>
      </c>
      <c r="F367" s="14"/>
    </row>
    <row r="368" spans="1:6" ht="19.95" customHeight="1">
      <c r="A368" s="31"/>
      <c r="B368" s="29"/>
      <c r="C368" s="29"/>
      <c r="D368" s="29"/>
      <c r="E368" s="14"/>
      <c r="F368" s="14"/>
    </row>
    <row r="369" spans="1:6" ht="19.95" customHeight="1">
      <c r="A369" s="104" t="s">
        <v>83</v>
      </c>
      <c r="B369" s="29">
        <v>2</v>
      </c>
      <c r="C369" s="29">
        <v>4.7</v>
      </c>
      <c r="D369" s="29">
        <v>1.05</v>
      </c>
      <c r="E369" s="30">
        <f>D369*C369*B369</f>
        <v>9.870000000000001</v>
      </c>
      <c r="F369" s="14"/>
    </row>
    <row r="370" spans="1:6" ht="19.95" customHeight="1">
      <c r="A370" s="42" t="s">
        <v>81</v>
      </c>
      <c r="B370" s="29">
        <v>2</v>
      </c>
      <c r="C370" s="29">
        <v>4.7</v>
      </c>
      <c r="D370" s="29">
        <v>0.185</v>
      </c>
      <c r="E370" s="30">
        <f>D370*C370*B370</f>
        <v>1.7390000000000001</v>
      </c>
      <c r="F370" s="14"/>
    </row>
    <row r="371" spans="1:6" ht="19.95" customHeight="1">
      <c r="A371" s="42" t="s">
        <v>82</v>
      </c>
      <c r="B371" s="29">
        <v>1</v>
      </c>
      <c r="C371" s="29">
        <v>3.0249999999999999</v>
      </c>
      <c r="D371" s="29">
        <v>0.185</v>
      </c>
      <c r="E371" s="30">
        <f>D371*C371*B371</f>
        <v>0.55962499999999993</v>
      </c>
      <c r="F371" s="14"/>
    </row>
    <row r="372" spans="1:6" ht="19.95" customHeight="1">
      <c r="A372" s="38"/>
      <c r="B372" s="14"/>
      <c r="C372" s="14"/>
      <c r="D372" s="29"/>
      <c r="E372" s="14"/>
      <c r="F372" s="14"/>
    </row>
    <row r="373" spans="1:6" ht="19.95" customHeight="1">
      <c r="A373" s="104" t="s">
        <v>118</v>
      </c>
      <c r="B373" s="29">
        <v>1</v>
      </c>
      <c r="C373" s="29">
        <v>3.51</v>
      </c>
      <c r="D373" s="29">
        <v>4.82</v>
      </c>
      <c r="E373" s="30">
        <f>D373*C373*B373</f>
        <v>16.918199999999999</v>
      </c>
      <c r="F373" s="14"/>
    </row>
    <row r="374" spans="1:6" ht="19.95" customHeight="1">
      <c r="A374" s="37"/>
      <c r="B374" s="14"/>
      <c r="C374" s="14"/>
      <c r="D374" s="29"/>
      <c r="E374" s="14"/>
      <c r="F374" s="14"/>
    </row>
    <row r="375" spans="1:6" ht="19.95" customHeight="1">
      <c r="A375" s="37"/>
      <c r="B375" s="14"/>
      <c r="C375" s="14"/>
      <c r="D375" s="14"/>
      <c r="E375" s="14"/>
      <c r="F375" s="14"/>
    </row>
    <row r="376" spans="1:6" ht="19.95" customHeight="1" thickBot="1">
      <c r="A376" s="37"/>
      <c r="B376" s="14"/>
      <c r="C376" s="14"/>
      <c r="D376" s="80"/>
      <c r="E376" s="80"/>
      <c r="F376" s="80"/>
    </row>
    <row r="377" spans="1:6" ht="19.95" customHeight="1" thickBot="1">
      <c r="A377" s="37"/>
      <c r="B377" s="14"/>
      <c r="C377" s="15"/>
      <c r="D377" s="81" t="s">
        <v>33</v>
      </c>
      <c r="E377" s="82">
        <f>SUM(E348:E376)</f>
        <v>70.907624999999996</v>
      </c>
      <c r="F377" s="83">
        <f>SUM(F348:F376)</f>
        <v>1.87</v>
      </c>
    </row>
    <row r="378" spans="1:6" ht="19.95" customHeight="1" thickBot="1">
      <c r="A378" s="38"/>
      <c r="B378" s="14"/>
      <c r="C378" s="14"/>
      <c r="D378" s="84"/>
      <c r="E378" s="84"/>
      <c r="F378" s="84"/>
    </row>
    <row r="379" spans="1:6" ht="19.95" customHeight="1" thickBot="1">
      <c r="A379" s="34"/>
      <c r="B379" s="14"/>
      <c r="C379" s="15"/>
      <c r="D379" s="85" t="s">
        <v>33</v>
      </c>
      <c r="E379" s="18">
        <f>E377-F377</f>
        <v>69.037624999999991</v>
      </c>
      <c r="F379" s="86" t="s">
        <v>6</v>
      </c>
    </row>
    <row r="380" spans="1:6" ht="19.95" customHeight="1">
      <c r="A380" s="154" t="s">
        <v>7</v>
      </c>
      <c r="B380" s="154"/>
      <c r="C380" s="154"/>
      <c r="D380" s="156"/>
      <c r="E380" s="156"/>
      <c r="F380" s="156"/>
    </row>
    <row r="381" spans="1:6" ht="19.95" customHeight="1">
      <c r="A381" s="19"/>
      <c r="B381" s="20"/>
      <c r="C381" s="20"/>
      <c r="D381" s="20"/>
      <c r="E381" s="21"/>
      <c r="F381" s="22"/>
    </row>
    <row r="382" spans="1:6" ht="19.95" customHeight="1">
      <c r="A382" s="23" t="s">
        <v>14</v>
      </c>
      <c r="E382" s="7" t="s">
        <v>0</v>
      </c>
      <c r="F382" s="8">
        <v>10</v>
      </c>
    </row>
    <row r="383" spans="1:6" ht="19.95" customHeight="1">
      <c r="A383" s="23" t="s">
        <v>120</v>
      </c>
      <c r="F383" s="24"/>
    </row>
    <row r="384" spans="1:6" ht="19.95" customHeight="1">
      <c r="A384" s="25"/>
      <c r="B384" s="26"/>
      <c r="C384" s="26"/>
      <c r="D384" s="26"/>
      <c r="E384" s="26"/>
      <c r="F384" s="27"/>
    </row>
    <row r="385" spans="1:6" ht="19.95" customHeight="1">
      <c r="A385" s="13" t="s">
        <v>8</v>
      </c>
      <c r="B385" s="13" t="s">
        <v>9</v>
      </c>
      <c r="C385" s="13" t="s">
        <v>10</v>
      </c>
      <c r="D385" s="13" t="s">
        <v>11</v>
      </c>
      <c r="E385" s="13" t="s">
        <v>12</v>
      </c>
      <c r="F385" s="13" t="s">
        <v>13</v>
      </c>
    </row>
    <row r="386" spans="1:6" ht="19.95" customHeight="1">
      <c r="A386" s="63" t="s">
        <v>121</v>
      </c>
      <c r="B386" s="29"/>
      <c r="C386" s="29"/>
      <c r="D386" s="29"/>
      <c r="E386" s="30"/>
      <c r="F386" s="30"/>
    </row>
    <row r="387" spans="1:6" ht="19.95" customHeight="1">
      <c r="A387" s="33" t="s">
        <v>122</v>
      </c>
      <c r="B387" s="29">
        <v>2</v>
      </c>
      <c r="C387" s="29">
        <v>0.25</v>
      </c>
      <c r="D387" s="29">
        <v>10.295</v>
      </c>
      <c r="E387" s="29">
        <f>D387*C387*B387</f>
        <v>5.1475</v>
      </c>
      <c r="F387" s="30"/>
    </row>
    <row r="388" spans="1:6" ht="19.95" customHeight="1">
      <c r="A388" s="33" t="s">
        <v>126</v>
      </c>
      <c r="B388" s="29">
        <v>2</v>
      </c>
      <c r="C388" s="29">
        <v>0.3</v>
      </c>
      <c r="D388" s="29">
        <v>3.11</v>
      </c>
      <c r="E388" s="29">
        <f t="shared" ref="E388:E399" si="8">D388*C388*B388</f>
        <v>1.8659999999999999</v>
      </c>
      <c r="F388" s="29"/>
    </row>
    <row r="389" spans="1:6" ht="19.95" customHeight="1">
      <c r="A389" s="33" t="s">
        <v>123</v>
      </c>
      <c r="B389" s="29">
        <v>1</v>
      </c>
      <c r="C389" s="29">
        <v>0.5</v>
      </c>
      <c r="D389" s="29">
        <v>3.11</v>
      </c>
      <c r="E389" s="29">
        <f t="shared" si="8"/>
        <v>1.5549999999999999</v>
      </c>
      <c r="F389" s="30"/>
    </row>
    <row r="390" spans="1:6" ht="19.95" customHeight="1">
      <c r="A390" s="33" t="s">
        <v>124</v>
      </c>
      <c r="B390" s="29">
        <v>2</v>
      </c>
      <c r="C390" s="29">
        <v>9.1950000000000003</v>
      </c>
      <c r="D390" s="29">
        <v>0.2</v>
      </c>
      <c r="E390" s="29">
        <f t="shared" si="8"/>
        <v>3.6780000000000004</v>
      </c>
      <c r="F390" s="29"/>
    </row>
    <row r="391" spans="1:6" ht="19.95" customHeight="1">
      <c r="A391" s="33" t="s">
        <v>125</v>
      </c>
      <c r="B391" s="29">
        <v>4</v>
      </c>
      <c r="C391" s="29">
        <v>3.11</v>
      </c>
      <c r="D391" s="29">
        <v>0.2</v>
      </c>
      <c r="E391" s="29">
        <f t="shared" si="8"/>
        <v>2.488</v>
      </c>
      <c r="F391" s="29"/>
    </row>
    <row r="392" spans="1:6" ht="19.95" customHeight="1">
      <c r="A392" s="33" t="s">
        <v>127</v>
      </c>
      <c r="B392" s="29">
        <v>2</v>
      </c>
      <c r="C392" s="29">
        <v>0.2</v>
      </c>
      <c r="D392" s="29">
        <v>1.76</v>
      </c>
      <c r="E392" s="29">
        <f t="shared" si="8"/>
        <v>0.70400000000000007</v>
      </c>
      <c r="F392" s="29"/>
    </row>
    <row r="393" spans="1:6" ht="19.95" customHeight="1">
      <c r="A393" s="33" t="s">
        <v>128</v>
      </c>
      <c r="B393" s="29">
        <v>2</v>
      </c>
      <c r="C393" s="29">
        <v>0.2</v>
      </c>
      <c r="D393" s="29">
        <v>0.5</v>
      </c>
      <c r="E393" s="29">
        <f t="shared" si="8"/>
        <v>0.2</v>
      </c>
      <c r="F393" s="29"/>
    </row>
    <row r="394" spans="1:6" ht="19.95" customHeight="1">
      <c r="A394" s="33" t="s">
        <v>129</v>
      </c>
      <c r="B394" s="29">
        <v>2</v>
      </c>
      <c r="C394" s="29">
        <v>0.18</v>
      </c>
      <c r="D394" s="29">
        <v>0.73</v>
      </c>
      <c r="E394" s="29">
        <f t="shared" si="8"/>
        <v>0.26279999999999998</v>
      </c>
      <c r="F394" s="29"/>
    </row>
    <row r="395" spans="1:6" ht="19.95" customHeight="1">
      <c r="A395" s="33" t="s">
        <v>130</v>
      </c>
      <c r="B395" s="29">
        <v>2</v>
      </c>
      <c r="C395" s="29">
        <v>0.22</v>
      </c>
      <c r="D395" s="29">
        <v>0.59</v>
      </c>
      <c r="E395" s="29">
        <f t="shared" si="8"/>
        <v>0.2596</v>
      </c>
      <c r="F395" s="29"/>
    </row>
    <row r="396" spans="1:6" ht="19.95" customHeight="1">
      <c r="A396" s="33" t="s">
        <v>131</v>
      </c>
      <c r="B396" s="29">
        <v>2</v>
      </c>
      <c r="C396" s="29">
        <v>1.76</v>
      </c>
      <c r="D396" s="29">
        <v>0.24</v>
      </c>
      <c r="E396" s="29">
        <f t="shared" si="8"/>
        <v>0.8448</v>
      </c>
      <c r="F396" s="29"/>
    </row>
    <row r="397" spans="1:6" ht="19.95" customHeight="1">
      <c r="A397" s="33" t="s">
        <v>132</v>
      </c>
      <c r="B397" s="29">
        <v>2</v>
      </c>
      <c r="C397" s="29">
        <v>0.97</v>
      </c>
      <c r="D397" s="29">
        <v>0.24</v>
      </c>
      <c r="E397" s="29">
        <f t="shared" si="8"/>
        <v>0.46559999999999996</v>
      </c>
      <c r="F397" s="29"/>
    </row>
    <row r="398" spans="1:6" ht="19.95" customHeight="1">
      <c r="A398" s="33" t="s">
        <v>133</v>
      </c>
      <c r="B398" s="29">
        <v>2</v>
      </c>
      <c r="C398" s="29">
        <v>0.73</v>
      </c>
      <c r="D398" s="29">
        <v>0.15</v>
      </c>
      <c r="E398" s="29">
        <f t="shared" si="8"/>
        <v>0.219</v>
      </c>
      <c r="F398" s="29"/>
    </row>
    <row r="399" spans="1:6" ht="19.95" customHeight="1">
      <c r="A399" s="33" t="s">
        <v>134</v>
      </c>
      <c r="B399" s="29">
        <v>2</v>
      </c>
      <c r="C399" s="29">
        <v>0.94</v>
      </c>
      <c r="D399" s="29">
        <v>0.15</v>
      </c>
      <c r="E399" s="29">
        <f t="shared" si="8"/>
        <v>0.28199999999999997</v>
      </c>
      <c r="F399" s="29"/>
    </row>
    <row r="400" spans="1:6" ht="19.95" customHeight="1">
      <c r="A400" s="34"/>
      <c r="B400" s="34"/>
      <c r="C400" s="34"/>
      <c r="D400" s="34"/>
      <c r="E400" s="34"/>
      <c r="F400" s="34"/>
    </row>
    <row r="401" spans="1:6" ht="19.95" customHeight="1">
      <c r="A401" s="63" t="s">
        <v>135</v>
      </c>
      <c r="B401" s="29"/>
      <c r="C401" s="29"/>
      <c r="D401" s="29"/>
      <c r="E401" s="14"/>
      <c r="F401" s="29"/>
    </row>
    <row r="402" spans="1:6" ht="19.95" customHeight="1">
      <c r="A402" s="33" t="s">
        <v>126</v>
      </c>
      <c r="B402" s="29">
        <v>2</v>
      </c>
      <c r="C402" s="29">
        <v>3.66</v>
      </c>
      <c r="D402" s="29">
        <v>0.25</v>
      </c>
      <c r="E402" s="14">
        <f>D402*C402*B402</f>
        <v>1.83</v>
      </c>
      <c r="F402" s="29"/>
    </row>
    <row r="403" spans="1:6" ht="19.95" customHeight="1">
      <c r="A403" s="33" t="s">
        <v>122</v>
      </c>
      <c r="B403" s="29">
        <v>1</v>
      </c>
      <c r="C403" s="29">
        <v>2.52</v>
      </c>
      <c r="D403" s="29">
        <v>0.25</v>
      </c>
      <c r="E403" s="14">
        <f t="shared" ref="E403:E405" si="9">D403*C403*B403</f>
        <v>0.63</v>
      </c>
      <c r="F403" s="29"/>
    </row>
    <row r="404" spans="1:6" ht="19.95" customHeight="1">
      <c r="A404" s="31" t="s">
        <v>136</v>
      </c>
      <c r="B404" s="29">
        <v>2</v>
      </c>
      <c r="C404" s="29">
        <v>3.41</v>
      </c>
      <c r="D404" s="29">
        <v>0.2</v>
      </c>
      <c r="E404" s="14">
        <f t="shared" si="9"/>
        <v>1.3640000000000001</v>
      </c>
      <c r="F404" s="30"/>
    </row>
    <row r="405" spans="1:6" ht="19.95" customHeight="1">
      <c r="A405" s="31" t="s">
        <v>137</v>
      </c>
      <c r="B405" s="29">
        <v>2</v>
      </c>
      <c r="C405" s="29">
        <v>2.52</v>
      </c>
      <c r="D405" s="29">
        <v>0.2</v>
      </c>
      <c r="E405" s="14">
        <f t="shared" si="9"/>
        <v>1.008</v>
      </c>
      <c r="F405" s="30"/>
    </row>
    <row r="406" spans="1:6" ht="19.95" customHeight="1">
      <c r="A406" s="31"/>
      <c r="B406" s="29"/>
      <c r="C406" s="29"/>
      <c r="D406" s="29"/>
      <c r="E406" s="30"/>
      <c r="F406" s="30"/>
    </row>
    <row r="407" spans="1:6" ht="19.95" customHeight="1">
      <c r="A407" s="63" t="s">
        <v>138</v>
      </c>
      <c r="B407" s="29"/>
      <c r="C407" s="29"/>
      <c r="D407" s="29"/>
      <c r="E407" s="30"/>
      <c r="F407" s="30"/>
    </row>
    <row r="408" spans="1:6" ht="19.95" customHeight="1">
      <c r="A408" s="33" t="s">
        <v>122</v>
      </c>
      <c r="B408" s="29">
        <v>2</v>
      </c>
      <c r="C408" s="29">
        <v>4.26</v>
      </c>
      <c r="D408" s="29">
        <v>0.25</v>
      </c>
      <c r="E408" s="30">
        <f>D408*C408*B408</f>
        <v>2.13</v>
      </c>
      <c r="F408" s="30"/>
    </row>
    <row r="409" spans="1:6" ht="19.95" customHeight="1">
      <c r="A409" s="33" t="s">
        <v>126</v>
      </c>
      <c r="B409" s="30">
        <v>1</v>
      </c>
      <c r="C409" s="30">
        <v>3.13</v>
      </c>
      <c r="D409" s="29">
        <v>0.25</v>
      </c>
      <c r="E409" s="30">
        <f t="shared" ref="E409:E411" si="10">D409*C409*B409</f>
        <v>0.78249999999999997</v>
      </c>
      <c r="F409" s="30"/>
    </row>
    <row r="410" spans="1:6" ht="19.95" customHeight="1">
      <c r="A410" s="31" t="s">
        <v>137</v>
      </c>
      <c r="B410" s="30">
        <v>2</v>
      </c>
      <c r="C410" s="30">
        <v>4</v>
      </c>
      <c r="D410" s="29">
        <v>0.17</v>
      </c>
      <c r="E410" s="30">
        <f t="shared" si="10"/>
        <v>1.36</v>
      </c>
      <c r="F410" s="30"/>
    </row>
    <row r="411" spans="1:6" ht="19.95" customHeight="1">
      <c r="A411" s="31" t="s">
        <v>136</v>
      </c>
      <c r="B411" s="30">
        <v>2</v>
      </c>
      <c r="C411" s="30">
        <v>3.13</v>
      </c>
      <c r="D411" s="29">
        <v>0.17</v>
      </c>
      <c r="E411" s="30">
        <f t="shared" si="10"/>
        <v>1.0642</v>
      </c>
      <c r="F411" s="30"/>
    </row>
    <row r="412" spans="1:6" ht="19.95" customHeight="1">
      <c r="A412" s="34"/>
      <c r="B412" s="30"/>
      <c r="C412" s="30"/>
      <c r="D412" s="29"/>
      <c r="E412" s="30"/>
      <c r="F412" s="30"/>
    </row>
    <row r="413" spans="1:6" ht="19.95" customHeight="1">
      <c r="A413" s="63" t="s">
        <v>172</v>
      </c>
      <c r="B413" s="30"/>
      <c r="C413" s="30"/>
      <c r="D413" s="14"/>
      <c r="E413" s="14"/>
      <c r="F413" s="14"/>
    </row>
    <row r="414" spans="1:6" ht="19.95" customHeight="1">
      <c r="A414" s="37"/>
      <c r="B414" s="30"/>
      <c r="C414" s="30"/>
      <c r="D414" s="29"/>
      <c r="E414" s="30"/>
      <c r="F414" s="30"/>
    </row>
    <row r="415" spans="1:6" ht="19.95" customHeight="1">
      <c r="A415" s="37"/>
      <c r="B415" s="30"/>
      <c r="C415" s="30"/>
      <c r="D415" s="29"/>
      <c r="E415" s="30"/>
      <c r="F415" s="30"/>
    </row>
    <row r="416" spans="1:6" ht="19.95" customHeight="1" thickBot="1">
      <c r="A416" s="38"/>
      <c r="B416" s="30"/>
      <c r="C416" s="30"/>
      <c r="D416" s="87"/>
      <c r="E416" s="87"/>
      <c r="F416" s="87"/>
    </row>
    <row r="417" spans="1:6" ht="19.95" customHeight="1" thickBot="1">
      <c r="A417" s="34"/>
      <c r="B417" s="30"/>
      <c r="C417" s="106"/>
      <c r="D417" s="76" t="s">
        <v>33</v>
      </c>
      <c r="E417" s="91">
        <f>SUM(E386:E416)</f>
        <v>28.140999999999998</v>
      </c>
      <c r="F417" s="78" t="s">
        <v>6</v>
      </c>
    </row>
    <row r="418" spans="1:6" ht="19.95" customHeight="1">
      <c r="A418" s="154" t="s">
        <v>7</v>
      </c>
      <c r="B418" s="154"/>
      <c r="C418" s="154"/>
      <c r="D418" s="154"/>
      <c r="E418" s="154"/>
      <c r="F418" s="154"/>
    </row>
    <row r="419" spans="1:6" ht="19.95" customHeight="1">
      <c r="A419" s="19"/>
      <c r="B419" s="20"/>
      <c r="C419" s="20"/>
      <c r="D419" s="20"/>
      <c r="E419" s="21"/>
      <c r="F419" s="22"/>
    </row>
    <row r="420" spans="1:6" ht="19.95" customHeight="1">
      <c r="A420" s="23" t="s">
        <v>14</v>
      </c>
      <c r="E420" s="7" t="s">
        <v>0</v>
      </c>
      <c r="F420" s="8">
        <v>11</v>
      </c>
    </row>
    <row r="421" spans="1:6" ht="19.95" customHeight="1">
      <c r="A421" s="23" t="s">
        <v>139</v>
      </c>
      <c r="F421" s="24"/>
    </row>
    <row r="422" spans="1:6" ht="19.95" customHeight="1">
      <c r="A422" s="25"/>
      <c r="B422" s="26"/>
      <c r="C422" s="26"/>
      <c r="D422" s="26"/>
      <c r="E422" s="26"/>
      <c r="F422" s="27"/>
    </row>
    <row r="423" spans="1:6" ht="19.95" customHeight="1" thickBot="1">
      <c r="A423" s="66" t="s">
        <v>8</v>
      </c>
      <c r="B423" s="13" t="s">
        <v>9</v>
      </c>
      <c r="C423" s="13" t="s">
        <v>10</v>
      </c>
      <c r="D423" s="13" t="s">
        <v>11</v>
      </c>
      <c r="E423" s="13" t="s">
        <v>12</v>
      </c>
      <c r="F423" s="13" t="s">
        <v>13</v>
      </c>
    </row>
    <row r="424" spans="1:6" ht="19.95" customHeight="1" thickBot="1">
      <c r="A424" s="108" t="s">
        <v>166</v>
      </c>
      <c r="B424" s="111"/>
      <c r="C424" s="70"/>
      <c r="D424" s="70"/>
      <c r="E424" s="87"/>
      <c r="F424" s="87"/>
    </row>
    <row r="425" spans="1:6" ht="19.95" customHeight="1">
      <c r="A425" s="113" t="s">
        <v>140</v>
      </c>
      <c r="B425" s="117"/>
      <c r="C425" s="117"/>
      <c r="D425" s="117"/>
      <c r="E425" s="117"/>
      <c r="F425" s="116"/>
    </row>
    <row r="426" spans="1:6" ht="19.95" customHeight="1">
      <c r="A426" s="110" t="s">
        <v>142</v>
      </c>
      <c r="B426" s="92">
        <v>1</v>
      </c>
      <c r="C426" s="92">
        <v>0.28999999999999998</v>
      </c>
      <c r="D426" s="92">
        <v>26.15</v>
      </c>
      <c r="E426" s="106">
        <f>D426*C426*B426</f>
        <v>7.583499999999999</v>
      </c>
      <c r="F426" s="112"/>
    </row>
    <row r="427" spans="1:6" ht="19.95" customHeight="1">
      <c r="A427" s="114"/>
      <c r="B427" s="74"/>
      <c r="C427" s="74"/>
      <c r="D427" s="74"/>
      <c r="E427" s="115"/>
      <c r="F427" s="75"/>
    </row>
    <row r="428" spans="1:6" ht="19.95" customHeight="1">
      <c r="A428" s="109" t="s">
        <v>141</v>
      </c>
      <c r="B428" s="117"/>
      <c r="C428" s="117"/>
      <c r="D428" s="70"/>
      <c r="E428" s="117"/>
      <c r="F428" s="116"/>
    </row>
    <row r="429" spans="1:6" ht="19.95" customHeight="1">
      <c r="A429" s="110" t="s">
        <v>143</v>
      </c>
      <c r="B429" s="92">
        <v>2</v>
      </c>
      <c r="C429" s="92">
        <v>0.19</v>
      </c>
      <c r="D429" s="92">
        <v>8.65</v>
      </c>
      <c r="E429" s="93">
        <f>D429*C429*B429</f>
        <v>3.2870000000000004</v>
      </c>
      <c r="F429" s="112"/>
    </row>
    <row r="430" spans="1:6" ht="19.95" customHeight="1">
      <c r="A430" s="107"/>
      <c r="B430" s="92"/>
      <c r="C430" s="92"/>
      <c r="D430" s="92"/>
      <c r="E430" s="106"/>
      <c r="F430" s="106"/>
    </row>
    <row r="431" spans="1:6" ht="19.95" customHeight="1">
      <c r="A431" s="28" t="s">
        <v>144</v>
      </c>
      <c r="B431" s="29">
        <v>1</v>
      </c>
      <c r="C431" s="29">
        <v>0.28000000000000003</v>
      </c>
      <c r="D431" s="29">
        <v>16.88</v>
      </c>
      <c r="E431" s="30">
        <f>D431*C431*B431</f>
        <v>4.7263999999999999</v>
      </c>
      <c r="F431" s="30"/>
    </row>
    <row r="432" spans="1:6" ht="19.95" customHeight="1">
      <c r="A432" s="31"/>
      <c r="B432" s="29"/>
      <c r="C432" s="29"/>
      <c r="D432" s="29"/>
      <c r="E432" s="30"/>
      <c r="F432" s="30"/>
    </row>
    <row r="433" spans="1:6" ht="19.95" customHeight="1">
      <c r="A433" s="118" t="s">
        <v>145</v>
      </c>
      <c r="B433" s="29"/>
      <c r="C433" s="29"/>
      <c r="D433" s="29"/>
      <c r="E433" s="34"/>
      <c r="F433" s="30"/>
    </row>
    <row r="434" spans="1:6" ht="19.95" customHeight="1">
      <c r="A434" s="31" t="s">
        <v>146</v>
      </c>
      <c r="B434" s="29">
        <v>6</v>
      </c>
      <c r="C434" s="29">
        <v>0.24</v>
      </c>
      <c r="D434" s="29">
        <v>1.31</v>
      </c>
      <c r="E434" s="30">
        <f>D434*C434*B434</f>
        <v>1.8864000000000001</v>
      </c>
      <c r="F434" s="30"/>
    </row>
    <row r="435" spans="1:6" ht="19.95" customHeight="1">
      <c r="A435" s="31" t="s">
        <v>147</v>
      </c>
      <c r="B435" s="29">
        <v>6</v>
      </c>
      <c r="C435" s="29">
        <v>0.16</v>
      </c>
      <c r="D435" s="29">
        <v>1</v>
      </c>
      <c r="E435" s="14">
        <f>D435*C435*B435</f>
        <v>0.96</v>
      </c>
      <c r="F435" s="30"/>
    </row>
    <row r="436" spans="1:6" ht="19.95" customHeight="1">
      <c r="A436" s="31"/>
      <c r="B436" s="29"/>
      <c r="C436" s="29"/>
      <c r="D436" s="29"/>
      <c r="E436" s="34"/>
      <c r="F436" s="30"/>
    </row>
    <row r="437" spans="1:6" ht="19.95" customHeight="1">
      <c r="A437" s="28" t="s">
        <v>148</v>
      </c>
      <c r="B437" s="29">
        <v>1</v>
      </c>
      <c r="C437" s="29">
        <v>0.16</v>
      </c>
      <c r="D437" s="29">
        <v>15.71</v>
      </c>
      <c r="E437" s="30">
        <f>D437*C437*B437</f>
        <v>2.5136000000000003</v>
      </c>
      <c r="F437" s="30"/>
    </row>
    <row r="438" spans="1:6" ht="19.95" customHeight="1">
      <c r="A438" s="31"/>
      <c r="B438" s="29"/>
      <c r="C438" s="29"/>
      <c r="D438" s="29"/>
      <c r="E438" s="30"/>
      <c r="F438" s="30"/>
    </row>
    <row r="439" spans="1:6" ht="19.95" customHeight="1">
      <c r="A439" s="118" t="s">
        <v>145</v>
      </c>
      <c r="B439" s="29">
        <v>2</v>
      </c>
      <c r="C439" s="29">
        <v>0.19</v>
      </c>
      <c r="D439" s="29">
        <v>1.2</v>
      </c>
      <c r="E439" s="30">
        <f>D439*C439*B439</f>
        <v>0.45599999999999996</v>
      </c>
      <c r="F439" s="30"/>
    </row>
    <row r="440" spans="1:6" ht="19.95" customHeight="1">
      <c r="A440" s="31"/>
      <c r="B440" s="29"/>
      <c r="C440" s="29"/>
      <c r="D440" s="29"/>
      <c r="E440" s="29"/>
      <c r="F440" s="30"/>
    </row>
    <row r="441" spans="1:6" ht="19.95" customHeight="1">
      <c r="A441" s="28" t="s">
        <v>149</v>
      </c>
      <c r="B441" s="29"/>
      <c r="C441" s="29"/>
      <c r="D441" s="29"/>
      <c r="E441" s="29"/>
      <c r="F441" s="29"/>
    </row>
    <row r="442" spans="1:6" ht="19.95" customHeight="1">
      <c r="A442" s="31" t="s">
        <v>150</v>
      </c>
      <c r="B442" s="29">
        <v>1</v>
      </c>
      <c r="C442" s="29">
        <v>0.16</v>
      </c>
      <c r="D442" s="29">
        <v>0.48</v>
      </c>
      <c r="E442" s="29">
        <f>D442*C442*B442</f>
        <v>7.6799999999999993E-2</v>
      </c>
      <c r="F442" s="29"/>
    </row>
    <row r="443" spans="1:6" ht="19.95" customHeight="1">
      <c r="A443" s="31" t="s">
        <v>151</v>
      </c>
      <c r="B443" s="29">
        <v>1</v>
      </c>
      <c r="C443" s="29">
        <v>0.28000000000000003</v>
      </c>
      <c r="D443" s="29">
        <v>0.76</v>
      </c>
      <c r="E443" s="29">
        <f>D443*C443*B443</f>
        <v>0.21280000000000002</v>
      </c>
      <c r="F443" s="29"/>
    </row>
    <row r="444" spans="1:6" ht="19.95" customHeight="1">
      <c r="A444" s="31"/>
      <c r="B444" s="29"/>
      <c r="C444" s="29"/>
      <c r="D444" s="29"/>
      <c r="E444" s="29"/>
      <c r="F444" s="29"/>
    </row>
    <row r="445" spans="1:6" ht="19.95" customHeight="1">
      <c r="A445" s="28" t="s">
        <v>152</v>
      </c>
      <c r="B445" s="29"/>
      <c r="C445" s="29"/>
      <c r="D445" s="29"/>
      <c r="E445" s="30"/>
      <c r="F445" s="30"/>
    </row>
    <row r="446" spans="1:6" ht="19.95" customHeight="1">
      <c r="A446" s="31" t="s">
        <v>150</v>
      </c>
      <c r="B446" s="29">
        <v>1</v>
      </c>
      <c r="C446" s="29">
        <v>0.16</v>
      </c>
      <c r="D446" s="29">
        <v>6.7</v>
      </c>
      <c r="E446" s="30">
        <f>D446*C446*B446</f>
        <v>1.0720000000000001</v>
      </c>
      <c r="F446" s="30"/>
    </row>
    <row r="447" spans="1:6" ht="19.95" customHeight="1">
      <c r="A447" s="31" t="s">
        <v>151</v>
      </c>
      <c r="B447" s="29">
        <v>4</v>
      </c>
      <c r="C447" s="29">
        <v>0.1</v>
      </c>
      <c r="D447" s="29">
        <v>0.73</v>
      </c>
      <c r="E447" s="30">
        <f>D447*C447*B447</f>
        <v>0.29199999999999998</v>
      </c>
      <c r="F447" s="30"/>
    </row>
    <row r="448" spans="1:6" ht="19.95" customHeight="1">
      <c r="A448" s="31"/>
      <c r="B448" s="29"/>
      <c r="C448" s="29"/>
      <c r="D448" s="29"/>
      <c r="E448" s="34"/>
      <c r="F448" s="30"/>
    </row>
    <row r="449" spans="1:6" ht="19.95" customHeight="1">
      <c r="A449" s="28" t="s">
        <v>153</v>
      </c>
      <c r="B449" s="29"/>
      <c r="C449" s="29"/>
      <c r="D449" s="29"/>
      <c r="E449" s="30"/>
      <c r="F449" s="30"/>
    </row>
    <row r="450" spans="1:6" ht="19.95" customHeight="1">
      <c r="A450" s="31" t="s">
        <v>150</v>
      </c>
      <c r="B450" s="29">
        <v>1</v>
      </c>
      <c r="C450" s="29">
        <v>0.16</v>
      </c>
      <c r="D450" s="29">
        <v>7.33</v>
      </c>
      <c r="E450" s="30">
        <f>D450*C450*B450</f>
        <v>1.1728000000000001</v>
      </c>
      <c r="F450" s="30"/>
    </row>
    <row r="451" spans="1:6" ht="19.95" customHeight="1">
      <c r="A451" s="31" t="s">
        <v>151</v>
      </c>
      <c r="B451" s="29">
        <v>4</v>
      </c>
      <c r="C451" s="29">
        <v>0.1</v>
      </c>
      <c r="D451" s="29">
        <v>0.83</v>
      </c>
      <c r="E451" s="30">
        <f>D451*C451*B451</f>
        <v>0.33200000000000002</v>
      </c>
      <c r="F451" s="30"/>
    </row>
    <row r="452" spans="1:6" ht="19.95" customHeight="1">
      <c r="A452" s="37"/>
      <c r="B452" s="30"/>
      <c r="C452" s="30"/>
      <c r="D452" s="29"/>
      <c r="E452" s="30"/>
      <c r="F452" s="30"/>
    </row>
    <row r="453" spans="1:6" ht="19.95" customHeight="1">
      <c r="A453" s="100" t="s">
        <v>154</v>
      </c>
      <c r="B453" s="30">
        <v>1</v>
      </c>
      <c r="C453" s="30">
        <v>0.24</v>
      </c>
      <c r="D453" s="29">
        <v>1.43</v>
      </c>
      <c r="E453" s="30">
        <f>D453*C453*B453</f>
        <v>0.34319999999999995</v>
      </c>
      <c r="F453" s="30"/>
    </row>
    <row r="454" spans="1:6" ht="19.95" customHeight="1" thickBot="1">
      <c r="A454" s="38"/>
      <c r="B454" s="30"/>
      <c r="C454" s="30"/>
      <c r="D454" s="87"/>
      <c r="E454" s="87"/>
      <c r="F454" s="87"/>
    </row>
    <row r="455" spans="1:6" ht="19.95" customHeight="1" thickBot="1">
      <c r="A455" s="34"/>
      <c r="B455" s="30"/>
      <c r="C455" s="39"/>
      <c r="D455" s="90" t="s">
        <v>33</v>
      </c>
      <c r="E455" s="91">
        <f>SUM(E425:E454)</f>
        <v>24.9145</v>
      </c>
      <c r="F455" s="78" t="s">
        <v>6</v>
      </c>
    </row>
    <row r="456" spans="1:6" ht="19.95" customHeight="1">
      <c r="A456" s="154" t="s">
        <v>7</v>
      </c>
      <c r="B456" s="154"/>
      <c r="C456" s="154"/>
      <c r="D456" s="156"/>
      <c r="E456" s="156"/>
      <c r="F456" s="156"/>
    </row>
    <row r="457" spans="1:6" ht="19.95" customHeight="1">
      <c r="A457" s="19"/>
      <c r="B457" s="20"/>
      <c r="C457" s="20"/>
      <c r="D457" s="20"/>
      <c r="E457" s="21"/>
      <c r="F457" s="22"/>
    </row>
    <row r="458" spans="1:6" ht="19.95" customHeight="1">
      <c r="A458" s="23" t="s">
        <v>14</v>
      </c>
      <c r="E458" s="7" t="s">
        <v>0</v>
      </c>
      <c r="F458" s="8">
        <v>12</v>
      </c>
    </row>
    <row r="459" spans="1:6" ht="19.95" customHeight="1">
      <c r="A459" s="23" t="s">
        <v>139</v>
      </c>
      <c r="F459" s="24"/>
    </row>
    <row r="460" spans="1:6" ht="19.95" customHeight="1">
      <c r="A460" s="25"/>
      <c r="B460" s="26"/>
      <c r="C460" s="26"/>
      <c r="D460" s="26"/>
      <c r="E460" s="26"/>
      <c r="F460" s="27"/>
    </row>
    <row r="461" spans="1:6" ht="19.95" customHeight="1" thickBot="1">
      <c r="A461" s="13" t="s">
        <v>8</v>
      </c>
      <c r="B461" s="13" t="s">
        <v>9</v>
      </c>
      <c r="C461" s="13" t="s">
        <v>10</v>
      </c>
      <c r="D461" s="13" t="s">
        <v>11</v>
      </c>
      <c r="E461" s="13" t="s">
        <v>12</v>
      </c>
      <c r="F461" s="13" t="s">
        <v>13</v>
      </c>
    </row>
    <row r="462" spans="1:6" ht="19.95" customHeight="1" thickBot="1">
      <c r="A462" s="131" t="s">
        <v>166</v>
      </c>
      <c r="B462" s="29"/>
      <c r="C462" s="29"/>
      <c r="D462" s="29"/>
      <c r="E462" s="30"/>
      <c r="F462" s="30"/>
    </row>
    <row r="463" spans="1:6" ht="19.95" customHeight="1">
      <c r="A463" s="33" t="s">
        <v>155</v>
      </c>
      <c r="B463" s="29">
        <v>2</v>
      </c>
      <c r="C463" s="29">
        <v>0.24</v>
      </c>
      <c r="D463" s="29">
        <v>1.06</v>
      </c>
      <c r="E463" s="30">
        <f>D463*C463*B463</f>
        <v>0.50880000000000003</v>
      </c>
      <c r="F463" s="30"/>
    </row>
    <row r="464" spans="1:6" ht="19.95" customHeight="1">
      <c r="A464" s="33"/>
      <c r="B464" s="29"/>
      <c r="C464" s="29"/>
      <c r="D464" s="29"/>
      <c r="E464" s="30"/>
      <c r="F464" s="30"/>
    </row>
    <row r="465" spans="1:6" ht="19.95" customHeight="1">
      <c r="A465" s="32" t="s">
        <v>156</v>
      </c>
      <c r="B465" s="29"/>
      <c r="C465" s="29"/>
      <c r="D465" s="29"/>
      <c r="E465" s="30"/>
      <c r="F465" s="30"/>
    </row>
    <row r="466" spans="1:6" ht="19.95" customHeight="1">
      <c r="A466" s="31" t="s">
        <v>150</v>
      </c>
      <c r="B466" s="29">
        <v>1</v>
      </c>
      <c r="C466" s="29">
        <v>0.24</v>
      </c>
      <c r="D466" s="29">
        <v>2.99</v>
      </c>
      <c r="E466" s="30">
        <f>D466*C466*B466</f>
        <v>0.71760000000000002</v>
      </c>
      <c r="F466" s="30"/>
    </row>
    <row r="467" spans="1:6" ht="19.95" customHeight="1">
      <c r="A467" s="31" t="s">
        <v>151</v>
      </c>
      <c r="B467" s="30">
        <v>1</v>
      </c>
      <c r="C467" s="29">
        <v>0.28000000000000003</v>
      </c>
      <c r="D467" s="29">
        <v>2.99</v>
      </c>
      <c r="E467" s="30">
        <f>D467*C467*B467</f>
        <v>0.83720000000000017</v>
      </c>
      <c r="F467" s="30"/>
    </row>
    <row r="468" spans="1:6" ht="19.95" customHeight="1">
      <c r="A468" s="36"/>
      <c r="B468" s="14"/>
      <c r="C468" s="29"/>
      <c r="D468" s="29"/>
      <c r="E468" s="30"/>
      <c r="F468" s="30"/>
    </row>
    <row r="469" spans="1:6" ht="19.95" customHeight="1">
      <c r="A469" s="100" t="s">
        <v>157</v>
      </c>
      <c r="B469" s="14"/>
      <c r="C469" s="29"/>
      <c r="D469" s="29"/>
      <c r="E469" s="30"/>
      <c r="F469" s="30"/>
    </row>
    <row r="470" spans="1:6" ht="19.95" customHeight="1">
      <c r="A470" s="37" t="s">
        <v>158</v>
      </c>
      <c r="B470" s="14">
        <v>11</v>
      </c>
      <c r="C470" s="14">
        <v>7.0000000000000007E-2</v>
      </c>
      <c r="D470" s="14">
        <v>0.5</v>
      </c>
      <c r="E470" s="14">
        <f>D470*C470*B470</f>
        <v>0.38500000000000001</v>
      </c>
      <c r="F470" s="30"/>
    </row>
    <row r="471" spans="1:6" ht="19.95" customHeight="1">
      <c r="A471" s="37" t="s">
        <v>159</v>
      </c>
      <c r="B471" s="14">
        <v>19</v>
      </c>
      <c r="C471" s="29">
        <v>7.0000000000000007E-2</v>
      </c>
      <c r="D471" s="29">
        <v>0.28000000000000003</v>
      </c>
      <c r="E471" s="14">
        <f t="shared" ref="E471:E472" si="11">D471*C471*B471</f>
        <v>0.37240000000000006</v>
      </c>
      <c r="F471" s="30"/>
    </row>
    <row r="472" spans="1:6" ht="19.95" customHeight="1" thickBot="1">
      <c r="A472" s="37" t="s">
        <v>160</v>
      </c>
      <c r="B472" s="14">
        <v>2</v>
      </c>
      <c r="C472" s="29">
        <v>7.0000000000000007E-2</v>
      </c>
      <c r="D472" s="70">
        <v>0.44</v>
      </c>
      <c r="E472" s="80">
        <f t="shared" si="11"/>
        <v>6.1600000000000009E-2</v>
      </c>
      <c r="F472" s="87"/>
    </row>
    <row r="473" spans="1:6" ht="19.95" customHeight="1" thickBot="1">
      <c r="A473" s="37"/>
      <c r="B473" s="14"/>
      <c r="C473" s="15"/>
      <c r="D473" s="85" t="s">
        <v>33</v>
      </c>
      <c r="E473" s="18">
        <f>SUM(E463:E472)</f>
        <v>2.8825999999999996</v>
      </c>
      <c r="F473" s="78" t="s">
        <v>6</v>
      </c>
    </row>
    <row r="474" spans="1:6" ht="19.95" customHeight="1" thickBot="1">
      <c r="A474" s="119"/>
      <c r="B474" s="70"/>
      <c r="C474" s="70"/>
      <c r="D474" s="120"/>
      <c r="E474" s="75"/>
      <c r="F474" s="75"/>
    </row>
    <row r="475" spans="1:6" ht="19.95" customHeight="1" thickBot="1">
      <c r="A475" s="121" t="s">
        <v>162</v>
      </c>
      <c r="B475" s="122"/>
      <c r="C475" s="122"/>
      <c r="D475" s="122" t="s">
        <v>33</v>
      </c>
      <c r="E475" s="123">
        <f>E473+E455</f>
        <v>27.7971</v>
      </c>
      <c r="F475" s="124" t="s">
        <v>6</v>
      </c>
    </row>
    <row r="476" spans="1:6" ht="19.95" customHeight="1" thickBot="1">
      <c r="A476" s="114"/>
      <c r="B476" s="74"/>
      <c r="C476" s="129"/>
      <c r="D476" s="125" t="s">
        <v>161</v>
      </c>
      <c r="E476" s="127">
        <v>2</v>
      </c>
      <c r="F476" s="126" t="s">
        <v>164</v>
      </c>
    </row>
    <row r="477" spans="1:6" ht="19.95" customHeight="1" thickBot="1">
      <c r="A477" s="128" t="s">
        <v>163</v>
      </c>
      <c r="B477" s="130"/>
      <c r="C477" s="130"/>
      <c r="D477" s="122" t="s">
        <v>33</v>
      </c>
      <c r="E477" s="123">
        <f>E476*E475</f>
        <v>55.594200000000001</v>
      </c>
      <c r="F477" s="124" t="s">
        <v>6</v>
      </c>
    </row>
    <row r="478" spans="1:6" ht="19.95" customHeight="1" thickBot="1">
      <c r="A478" s="114"/>
      <c r="B478" s="92"/>
      <c r="C478" s="92"/>
      <c r="D478" s="92"/>
      <c r="E478" s="106"/>
      <c r="F478" s="106"/>
    </row>
    <row r="479" spans="1:6" ht="19.95" customHeight="1" thickBot="1">
      <c r="A479" s="108" t="s">
        <v>165</v>
      </c>
      <c r="B479" s="94"/>
      <c r="C479" s="29"/>
      <c r="D479" s="29"/>
      <c r="E479" s="30"/>
      <c r="F479" s="30"/>
    </row>
    <row r="480" spans="1:6" ht="19.95" customHeight="1">
      <c r="A480" s="107" t="s">
        <v>167</v>
      </c>
      <c r="B480" s="29">
        <v>1</v>
      </c>
      <c r="C480" s="29">
        <v>0.16</v>
      </c>
      <c r="D480" s="29">
        <v>3.62</v>
      </c>
      <c r="E480" s="30">
        <f>D480*C480*B480</f>
        <v>0.57920000000000005</v>
      </c>
      <c r="F480" s="30"/>
    </row>
    <row r="481" spans="1:6" ht="19.95" customHeight="1">
      <c r="A481" s="31" t="s">
        <v>168</v>
      </c>
      <c r="B481" s="29">
        <v>1</v>
      </c>
      <c r="C481" s="29">
        <v>0.24</v>
      </c>
      <c r="D481" s="29">
        <v>2.5299999999999998</v>
      </c>
      <c r="E481" s="30">
        <f>D481*C481*B481</f>
        <v>0.60719999999999996</v>
      </c>
      <c r="F481" s="30"/>
    </row>
    <row r="482" spans="1:6" ht="19.95" customHeight="1" thickBot="1">
      <c r="A482" s="31" t="s">
        <v>169</v>
      </c>
      <c r="B482" s="29">
        <v>1</v>
      </c>
      <c r="C482" s="29">
        <v>0.19</v>
      </c>
      <c r="D482" s="70">
        <v>0.57999999999999996</v>
      </c>
      <c r="E482" s="87">
        <f>D482*C482*B482</f>
        <v>0.11019999999999999</v>
      </c>
      <c r="F482" s="87"/>
    </row>
    <row r="483" spans="1:6" ht="19.95" customHeight="1" thickBot="1">
      <c r="A483" s="37"/>
      <c r="B483" s="30"/>
      <c r="C483" s="39"/>
      <c r="D483" s="76" t="s">
        <v>33</v>
      </c>
      <c r="E483" s="91">
        <f>SUM(E480:E482)</f>
        <v>1.2966</v>
      </c>
      <c r="F483" s="78" t="s">
        <v>6</v>
      </c>
    </row>
    <row r="484" spans="1:6" ht="19.95" customHeight="1" thickBot="1">
      <c r="A484" s="132"/>
      <c r="B484" s="87"/>
      <c r="C484" s="87"/>
      <c r="D484" s="74"/>
      <c r="E484" s="75"/>
      <c r="F484" s="75"/>
    </row>
    <row r="485" spans="1:6" ht="19.95" customHeight="1" thickBot="1">
      <c r="A485" s="134" t="s">
        <v>170</v>
      </c>
      <c r="B485" s="123"/>
      <c r="C485" s="123"/>
      <c r="D485" s="122" t="s">
        <v>33</v>
      </c>
      <c r="E485" s="123">
        <f>E483+E477</f>
        <v>56.890799999999999</v>
      </c>
      <c r="F485" s="124" t="s">
        <v>6</v>
      </c>
    </row>
    <row r="486" spans="1:6" ht="19.95" customHeight="1">
      <c r="A486" s="133"/>
      <c r="B486" s="106"/>
      <c r="C486" s="106"/>
      <c r="D486" s="92"/>
      <c r="E486" s="106"/>
      <c r="F486" s="106"/>
    </row>
    <row r="487" spans="1:6" ht="19.95" customHeight="1">
      <c r="A487" s="38"/>
      <c r="B487" s="30"/>
      <c r="C487" s="30"/>
      <c r="D487" s="29"/>
      <c r="E487" s="30"/>
      <c r="F487" s="30"/>
    </row>
    <row r="488" spans="1:6" ht="19.95" customHeight="1">
      <c r="A488" s="37"/>
      <c r="B488" s="30"/>
      <c r="C488" s="30"/>
      <c r="D488" s="29"/>
      <c r="E488" s="30"/>
      <c r="F488" s="30"/>
    </row>
    <row r="489" spans="1:6" ht="19.95" customHeight="1">
      <c r="A489" s="37"/>
      <c r="B489" s="30"/>
      <c r="C489" s="30"/>
      <c r="D489" s="29"/>
      <c r="E489" s="30"/>
      <c r="F489" s="30"/>
    </row>
    <row r="490" spans="1:6" ht="19.95" customHeight="1">
      <c r="A490" s="37"/>
      <c r="B490" s="30"/>
      <c r="C490" s="30"/>
      <c r="D490" s="29"/>
      <c r="E490" s="30"/>
      <c r="F490" s="30"/>
    </row>
    <row r="491" spans="1:6" ht="19.95" customHeight="1">
      <c r="A491" s="37"/>
      <c r="B491" s="30"/>
      <c r="C491" s="30"/>
      <c r="D491" s="29"/>
      <c r="E491" s="30"/>
      <c r="F491" s="30"/>
    </row>
    <row r="492" spans="1:6" ht="19.95" customHeight="1">
      <c r="A492" s="38"/>
      <c r="B492" s="30"/>
      <c r="C492" s="30"/>
      <c r="D492" s="30"/>
      <c r="E492" s="30"/>
      <c r="F492" s="30"/>
    </row>
    <row r="493" spans="1:6" ht="19.95" customHeight="1">
      <c r="A493" s="34"/>
      <c r="B493" s="30"/>
      <c r="C493" s="30"/>
      <c r="D493" s="30"/>
      <c r="E493" s="30"/>
      <c r="F493" s="30"/>
    </row>
    <row r="494" spans="1:6" ht="19.95" customHeight="1">
      <c r="A494" s="154" t="s">
        <v>7</v>
      </c>
      <c r="B494" s="154"/>
      <c r="C494" s="154"/>
      <c r="D494" s="154"/>
      <c r="E494" s="154"/>
      <c r="F494" s="154"/>
    </row>
    <row r="495" spans="1:6" ht="19.95" customHeight="1">
      <c r="A495" s="19"/>
      <c r="B495" s="20"/>
      <c r="C495" s="20"/>
      <c r="D495" s="20"/>
      <c r="E495" s="21"/>
      <c r="F495" s="22"/>
    </row>
    <row r="496" spans="1:6" ht="19.95" customHeight="1">
      <c r="A496" s="23" t="s">
        <v>14</v>
      </c>
      <c r="E496" s="7" t="s">
        <v>0</v>
      </c>
      <c r="F496" s="8">
        <v>13</v>
      </c>
    </row>
    <row r="497" spans="1:6" ht="19.95" customHeight="1">
      <c r="A497" s="23" t="s">
        <v>171</v>
      </c>
      <c r="F497" s="24"/>
    </row>
    <row r="498" spans="1:6" ht="19.95" customHeight="1">
      <c r="A498" s="25"/>
      <c r="B498" s="26"/>
      <c r="C498" s="26"/>
      <c r="D498" s="26"/>
      <c r="E498" s="26"/>
      <c r="F498" s="27"/>
    </row>
    <row r="499" spans="1:6" ht="19.95" customHeight="1">
      <c r="A499" s="13" t="s">
        <v>8</v>
      </c>
      <c r="B499" s="13" t="s">
        <v>9</v>
      </c>
      <c r="C499" s="13" t="s">
        <v>10</v>
      </c>
      <c r="D499" s="13" t="s">
        <v>11</v>
      </c>
      <c r="E499" s="13" t="s">
        <v>12</v>
      </c>
      <c r="F499" s="13" t="s">
        <v>13</v>
      </c>
    </row>
    <row r="500" spans="1:6" ht="19.95" customHeight="1">
      <c r="A500" s="47" t="s">
        <v>173</v>
      </c>
      <c r="B500" s="29">
        <v>2</v>
      </c>
      <c r="C500" s="29">
        <v>7.83</v>
      </c>
      <c r="D500" s="29"/>
      <c r="E500" s="30">
        <f t="shared" ref="E500:E506" si="12">C500*B500</f>
        <v>15.66</v>
      </c>
      <c r="F500" s="30"/>
    </row>
    <row r="501" spans="1:6" ht="19.95" customHeight="1">
      <c r="A501" s="31" t="s">
        <v>175</v>
      </c>
      <c r="B501" s="29">
        <v>13</v>
      </c>
      <c r="C501" s="29">
        <v>0.61</v>
      </c>
      <c r="D501" s="29"/>
      <c r="E501" s="30">
        <f t="shared" si="12"/>
        <v>7.93</v>
      </c>
      <c r="F501" s="30"/>
    </row>
    <row r="502" spans="1:6" ht="19.95" customHeight="1">
      <c r="A502" s="34" t="s">
        <v>176</v>
      </c>
      <c r="B502" s="14">
        <v>6</v>
      </c>
      <c r="C502" s="14">
        <v>0.14000000000000001</v>
      </c>
      <c r="D502" s="14"/>
      <c r="E502" s="14">
        <f t="shared" si="12"/>
        <v>0.84000000000000008</v>
      </c>
      <c r="F502" s="30"/>
    </row>
    <row r="503" spans="1:6" ht="19.95" customHeight="1">
      <c r="A503" s="47" t="s">
        <v>174</v>
      </c>
      <c r="B503" s="29">
        <v>2</v>
      </c>
      <c r="C503" s="29">
        <v>5.75</v>
      </c>
      <c r="D503" s="29"/>
      <c r="E503" s="30">
        <f t="shared" si="12"/>
        <v>11.5</v>
      </c>
      <c r="F503" s="30"/>
    </row>
    <row r="504" spans="1:6" ht="19.95" customHeight="1">
      <c r="A504" s="31" t="s">
        <v>175</v>
      </c>
      <c r="B504" s="29">
        <v>8</v>
      </c>
      <c r="C504" s="29">
        <v>0.61</v>
      </c>
      <c r="D504" s="29"/>
      <c r="E504" s="30">
        <f t="shared" si="12"/>
        <v>4.88</v>
      </c>
      <c r="F504" s="30"/>
    </row>
    <row r="505" spans="1:6" ht="19.95" customHeight="1">
      <c r="A505" s="34" t="s">
        <v>176</v>
      </c>
      <c r="B505" s="29">
        <v>4</v>
      </c>
      <c r="C505" s="29">
        <v>0.14000000000000001</v>
      </c>
      <c r="D505" s="29"/>
      <c r="E505" s="30">
        <f t="shared" si="12"/>
        <v>0.56000000000000005</v>
      </c>
      <c r="F505" s="30"/>
    </row>
    <row r="506" spans="1:6" ht="19.95" customHeight="1" thickBot="1">
      <c r="A506" s="135" t="s">
        <v>177</v>
      </c>
      <c r="B506" s="29">
        <v>3</v>
      </c>
      <c r="C506" s="29">
        <v>2.8</v>
      </c>
      <c r="D506" s="70"/>
      <c r="E506" s="87">
        <f t="shared" si="12"/>
        <v>8.3999999999999986</v>
      </c>
      <c r="F506" s="87"/>
    </row>
    <row r="507" spans="1:6" ht="19.95" customHeight="1" thickBot="1">
      <c r="A507" s="31"/>
      <c r="B507" s="29"/>
      <c r="C507" s="69"/>
      <c r="D507" s="76" t="s">
        <v>33</v>
      </c>
      <c r="E507" s="91">
        <f>SUM(E500:E506)</f>
        <v>49.77</v>
      </c>
      <c r="F507" s="78" t="s">
        <v>181</v>
      </c>
    </row>
    <row r="508" spans="1:6" ht="19.95" customHeight="1">
      <c r="A508" s="28"/>
      <c r="B508" s="29"/>
      <c r="C508" s="29"/>
      <c r="D508" s="92"/>
      <c r="E508" s="106"/>
      <c r="F508" s="106"/>
    </row>
    <row r="509" spans="1:6" ht="19.95" customHeight="1">
      <c r="A509" s="47" t="s">
        <v>178</v>
      </c>
      <c r="B509" s="29">
        <v>1</v>
      </c>
      <c r="C509" s="29">
        <v>0.7</v>
      </c>
      <c r="D509" s="29">
        <v>5.97</v>
      </c>
      <c r="E509" s="30">
        <f>D509*C509*B509</f>
        <v>4.1789999999999994</v>
      </c>
      <c r="F509" s="30"/>
    </row>
    <row r="510" spans="1:6" ht="19.95" customHeight="1">
      <c r="A510" s="47" t="s">
        <v>179</v>
      </c>
      <c r="B510" s="29">
        <v>1</v>
      </c>
      <c r="C510" s="29">
        <v>0.7</v>
      </c>
      <c r="D510" s="29">
        <v>3.96</v>
      </c>
      <c r="E510" s="30">
        <f>D510*C510*B510</f>
        <v>2.7719999999999998</v>
      </c>
      <c r="F510" s="30"/>
    </row>
    <row r="511" spans="1:6" ht="19.95" customHeight="1" thickBot="1">
      <c r="A511" s="135" t="s">
        <v>180</v>
      </c>
      <c r="B511" s="29">
        <v>6</v>
      </c>
      <c r="C511" s="29">
        <v>0.63</v>
      </c>
      <c r="D511" s="70">
        <v>0.63</v>
      </c>
      <c r="E511" s="87">
        <f>D511*C511*B511</f>
        <v>2.3814000000000002</v>
      </c>
      <c r="F511" s="87"/>
    </row>
    <row r="512" spans="1:6" ht="19.95" customHeight="1" thickBot="1">
      <c r="A512" s="31"/>
      <c r="B512" s="29"/>
      <c r="C512" s="69"/>
      <c r="D512" s="76" t="s">
        <v>33</v>
      </c>
      <c r="E512" s="91">
        <f>SUM(E509:E511)</f>
        <v>9.3323999999999998</v>
      </c>
      <c r="F512" s="78" t="s">
        <v>6</v>
      </c>
    </row>
    <row r="513" spans="1:6" ht="19.95" customHeight="1">
      <c r="A513" s="31"/>
      <c r="B513" s="29"/>
      <c r="C513" s="29"/>
      <c r="D513" s="92"/>
      <c r="E513" s="106"/>
      <c r="F513" s="106"/>
    </row>
    <row r="514" spans="1:6" ht="19.95" customHeight="1" thickBot="1">
      <c r="A514" s="135" t="s">
        <v>182</v>
      </c>
      <c r="B514" s="29">
        <v>3</v>
      </c>
      <c r="C514" s="29">
        <v>7.54</v>
      </c>
      <c r="D514" s="70">
        <v>1.0249999999999999</v>
      </c>
      <c r="E514" s="87">
        <f>D514*C514*B514</f>
        <v>23.185499999999998</v>
      </c>
      <c r="F514" s="87"/>
    </row>
    <row r="515" spans="1:6" ht="19.95" customHeight="1" thickBot="1">
      <c r="A515" s="31"/>
      <c r="B515" s="29"/>
      <c r="C515" s="69"/>
      <c r="D515" s="76" t="s">
        <v>33</v>
      </c>
      <c r="E515" s="91">
        <f>SUM(E514)</f>
        <v>23.185499999999998</v>
      </c>
      <c r="F515" s="78" t="s">
        <v>6</v>
      </c>
    </row>
    <row r="516" spans="1:6" ht="19.95" customHeight="1">
      <c r="A516" s="31"/>
      <c r="B516" s="29"/>
      <c r="C516" s="29"/>
      <c r="D516" s="92"/>
      <c r="E516" s="106"/>
      <c r="F516" s="106"/>
    </row>
    <row r="517" spans="1:6" ht="19.95" customHeight="1">
      <c r="A517" s="31"/>
      <c r="B517" s="29"/>
      <c r="C517" s="29"/>
      <c r="D517" s="29"/>
      <c r="E517" s="30"/>
      <c r="F517" s="30"/>
    </row>
    <row r="518" spans="1:6" ht="19.95" customHeight="1">
      <c r="A518" s="31"/>
      <c r="B518" s="29"/>
      <c r="C518" s="29"/>
      <c r="D518" s="29"/>
      <c r="E518" s="30"/>
      <c r="F518" s="30"/>
    </row>
    <row r="519" spans="1:6" ht="19.95" customHeight="1">
      <c r="A519" s="31"/>
      <c r="B519" s="29"/>
      <c r="C519" s="29"/>
      <c r="D519" s="29"/>
      <c r="E519" s="30"/>
      <c r="F519" s="30"/>
    </row>
    <row r="520" spans="1:6" ht="19.95" customHeight="1">
      <c r="A520" s="31"/>
      <c r="B520" s="29"/>
      <c r="C520" s="29"/>
      <c r="D520" s="29"/>
      <c r="E520" s="30"/>
      <c r="F520" s="30"/>
    </row>
    <row r="521" spans="1:6" ht="19.95" customHeight="1">
      <c r="A521" s="31"/>
      <c r="B521" s="29"/>
      <c r="C521" s="29"/>
      <c r="D521" s="29"/>
      <c r="E521" s="30"/>
      <c r="F521" s="30"/>
    </row>
    <row r="522" spans="1:6" ht="19.95" customHeight="1">
      <c r="A522" s="31"/>
      <c r="B522" s="29"/>
      <c r="C522" s="29"/>
      <c r="D522" s="29"/>
      <c r="E522" s="30"/>
      <c r="F522" s="30"/>
    </row>
    <row r="523" spans="1:6" ht="19.95" customHeight="1">
      <c r="A523" s="37"/>
      <c r="B523" s="30"/>
      <c r="C523" s="30"/>
      <c r="D523" s="29"/>
      <c r="E523" s="30"/>
      <c r="F523" s="30"/>
    </row>
    <row r="524" spans="1:6" ht="19.95" customHeight="1">
      <c r="A524" s="38"/>
      <c r="B524" s="30"/>
      <c r="C524" s="30"/>
      <c r="D524" s="29"/>
      <c r="E524" s="30"/>
      <c r="F524" s="30"/>
    </row>
    <row r="525" spans="1:6" ht="19.95" customHeight="1">
      <c r="A525" s="38"/>
      <c r="B525" s="30"/>
      <c r="C525" s="30"/>
      <c r="D525" s="29"/>
      <c r="E525" s="30"/>
      <c r="F525" s="30"/>
    </row>
    <row r="526" spans="1:6" ht="19.95" customHeight="1">
      <c r="A526" s="37"/>
      <c r="B526" s="30"/>
      <c r="C526" s="30"/>
      <c r="D526" s="29"/>
      <c r="E526" s="30"/>
      <c r="F526" s="30"/>
    </row>
    <row r="527" spans="1:6" ht="19.95" customHeight="1">
      <c r="A527" s="37"/>
      <c r="B527" s="30"/>
      <c r="C527" s="30"/>
      <c r="D527" s="29"/>
      <c r="E527" s="30"/>
      <c r="F527" s="30"/>
    </row>
    <row r="528" spans="1:6" ht="19.95" customHeight="1">
      <c r="A528" s="37"/>
      <c r="B528" s="30"/>
      <c r="C528" s="30"/>
      <c r="D528" s="29"/>
      <c r="E528" s="30"/>
      <c r="F528" s="30"/>
    </row>
    <row r="529" spans="1:6" ht="19.95" customHeight="1">
      <c r="A529" s="37"/>
      <c r="B529" s="30"/>
      <c r="C529" s="30"/>
      <c r="D529" s="29"/>
      <c r="E529" s="30"/>
      <c r="F529" s="30"/>
    </row>
    <row r="530" spans="1:6" ht="19.95" customHeight="1">
      <c r="A530" s="38"/>
      <c r="B530" s="30"/>
      <c r="C530" s="30"/>
      <c r="D530" s="30"/>
      <c r="E530" s="30"/>
      <c r="F530" s="30"/>
    </row>
    <row r="531" spans="1:6" ht="19.95" customHeight="1">
      <c r="A531" s="34"/>
      <c r="B531" s="30"/>
      <c r="C531" s="30"/>
      <c r="D531" s="30"/>
      <c r="E531" s="30"/>
      <c r="F531" s="30"/>
    </row>
    <row r="532" spans="1:6" ht="19.95" customHeight="1">
      <c r="A532" s="154" t="s">
        <v>7</v>
      </c>
      <c r="B532" s="154"/>
      <c r="C532" s="154"/>
      <c r="D532" s="154"/>
      <c r="E532" s="154"/>
      <c r="F532" s="154"/>
    </row>
    <row r="533" spans="1:6" ht="19.95" customHeight="1">
      <c r="A533" s="19"/>
      <c r="B533" s="20"/>
      <c r="C533" s="20"/>
      <c r="D533" s="20"/>
      <c r="E533" s="21"/>
      <c r="F533" s="22"/>
    </row>
    <row r="534" spans="1:6" ht="19.95" customHeight="1">
      <c r="A534" s="23" t="s">
        <v>14</v>
      </c>
      <c r="E534" s="7" t="s">
        <v>0</v>
      </c>
      <c r="F534" s="8">
        <v>14</v>
      </c>
    </row>
    <row r="535" spans="1:6" ht="19.95" customHeight="1">
      <c r="A535" s="23" t="s">
        <v>15</v>
      </c>
      <c r="F535" s="24"/>
    </row>
    <row r="536" spans="1:6" ht="19.95" customHeight="1">
      <c r="A536" s="25"/>
      <c r="B536" s="26"/>
      <c r="C536" s="26"/>
      <c r="D536" s="26"/>
      <c r="E536" s="26"/>
      <c r="F536" s="27"/>
    </row>
    <row r="537" spans="1:6" ht="19.95" customHeight="1">
      <c r="A537" s="13" t="s">
        <v>8</v>
      </c>
      <c r="B537" s="13" t="s">
        <v>9</v>
      </c>
      <c r="C537" s="13" t="s">
        <v>10</v>
      </c>
      <c r="D537" s="13" t="s">
        <v>11</v>
      </c>
      <c r="E537" s="13" t="s">
        <v>12</v>
      </c>
      <c r="F537" s="13" t="s">
        <v>13</v>
      </c>
    </row>
    <row r="538" spans="1:6" ht="19.95" customHeight="1">
      <c r="A538" s="28"/>
      <c r="B538" s="29"/>
      <c r="C538" s="29"/>
      <c r="D538" s="29"/>
      <c r="E538" s="30"/>
      <c r="F538" s="30"/>
    </row>
    <row r="539" spans="1:6" ht="19.95" customHeight="1">
      <c r="A539" s="28"/>
      <c r="B539" s="29"/>
      <c r="C539" s="29"/>
      <c r="D539" s="29"/>
      <c r="E539" s="30"/>
      <c r="F539" s="30"/>
    </row>
    <row r="540" spans="1:6" ht="19.95" customHeight="1">
      <c r="A540" s="31"/>
      <c r="B540" s="29"/>
      <c r="C540" s="29"/>
      <c r="D540" s="29"/>
      <c r="E540" s="30"/>
      <c r="F540" s="30"/>
    </row>
    <row r="541" spans="1:6" ht="19.95" customHeight="1">
      <c r="A541" s="31"/>
      <c r="B541" s="29"/>
      <c r="C541" s="29"/>
      <c r="D541" s="29"/>
      <c r="E541" s="30"/>
      <c r="F541" s="30"/>
    </row>
    <row r="542" spans="1:6" ht="19.95" customHeight="1">
      <c r="A542" s="31"/>
      <c r="B542" s="29"/>
      <c r="C542" s="29"/>
      <c r="D542" s="29"/>
      <c r="E542" s="30"/>
      <c r="F542" s="30"/>
    </row>
    <row r="543" spans="1:6" ht="19.95" customHeight="1">
      <c r="A543" s="31"/>
      <c r="B543" s="29"/>
      <c r="C543" s="29"/>
      <c r="D543" s="29"/>
      <c r="E543" s="30"/>
      <c r="F543" s="30"/>
    </row>
    <row r="544" spans="1:6" ht="19.95" customHeight="1">
      <c r="A544" s="31"/>
      <c r="B544" s="29"/>
      <c r="C544" s="29"/>
      <c r="D544" s="29"/>
      <c r="E544" s="30"/>
      <c r="F544" s="30"/>
    </row>
    <row r="545" spans="1:6" ht="19.95" customHeight="1">
      <c r="A545" s="31"/>
      <c r="B545" s="29"/>
      <c r="C545" s="29"/>
      <c r="D545" s="29"/>
      <c r="E545" s="30"/>
      <c r="F545" s="30"/>
    </row>
    <row r="546" spans="1:6" ht="19.95" customHeight="1">
      <c r="A546" s="31"/>
      <c r="B546" s="29"/>
      <c r="C546" s="29"/>
      <c r="D546" s="29"/>
      <c r="E546" s="30"/>
      <c r="F546" s="30"/>
    </row>
    <row r="547" spans="1:6" ht="19.95" customHeight="1">
      <c r="A547" s="31"/>
      <c r="B547" s="29"/>
      <c r="C547" s="29"/>
      <c r="D547" s="29"/>
      <c r="E547" s="30"/>
      <c r="F547" s="30"/>
    </row>
    <row r="548" spans="1:6" ht="19.95" customHeight="1">
      <c r="A548" s="31"/>
      <c r="B548" s="29"/>
      <c r="C548" s="29"/>
      <c r="D548" s="29"/>
      <c r="E548" s="30"/>
      <c r="F548" s="30"/>
    </row>
    <row r="549" spans="1:6" ht="19.95" customHeight="1">
      <c r="A549" s="47"/>
      <c r="B549" s="29"/>
      <c r="C549" s="29"/>
      <c r="D549" s="29"/>
      <c r="E549" s="30"/>
      <c r="F549" s="30"/>
    </row>
    <row r="550" spans="1:6" ht="19.95" customHeight="1">
      <c r="A550" s="31"/>
      <c r="B550" s="29"/>
      <c r="C550" s="29"/>
      <c r="D550" s="29"/>
      <c r="E550" s="30"/>
      <c r="F550" s="30"/>
    </row>
    <row r="551" spans="1:6" ht="19.95" customHeight="1">
      <c r="A551" s="31"/>
      <c r="B551" s="29"/>
      <c r="C551" s="29"/>
      <c r="D551" s="29"/>
      <c r="E551" s="30"/>
      <c r="F551" s="30"/>
    </row>
    <row r="552" spans="1:6" ht="19.95" customHeight="1">
      <c r="A552" s="31"/>
      <c r="B552" s="29"/>
      <c r="C552" s="29"/>
      <c r="D552" s="29"/>
      <c r="E552" s="30"/>
      <c r="F552" s="30"/>
    </row>
    <row r="553" spans="1:6" ht="19.95" customHeight="1">
      <c r="A553" s="31"/>
      <c r="B553" s="29"/>
      <c r="C553" s="29"/>
      <c r="D553" s="29"/>
      <c r="E553" s="30"/>
      <c r="F553" s="30"/>
    </row>
    <row r="554" spans="1:6" ht="19.95" customHeight="1">
      <c r="A554" s="31"/>
      <c r="B554" s="29"/>
      <c r="C554" s="29"/>
      <c r="D554" s="29"/>
      <c r="E554" s="30"/>
      <c r="F554" s="30"/>
    </row>
    <row r="555" spans="1:6" ht="19.95" customHeight="1">
      <c r="A555" s="28"/>
      <c r="B555" s="29"/>
      <c r="C555" s="29"/>
      <c r="D555" s="29"/>
      <c r="E555" s="30"/>
      <c r="F555" s="30"/>
    </row>
    <row r="556" spans="1:6" ht="19.95" customHeight="1">
      <c r="A556" s="28"/>
      <c r="B556" s="29"/>
      <c r="C556" s="29"/>
      <c r="D556" s="29"/>
      <c r="E556" s="30"/>
      <c r="F556" s="30"/>
    </row>
    <row r="557" spans="1:6" ht="19.95" customHeight="1">
      <c r="A557" s="31"/>
      <c r="B557" s="29"/>
      <c r="C557" s="29"/>
      <c r="D557" s="29"/>
      <c r="E557" s="30"/>
      <c r="F557" s="30"/>
    </row>
    <row r="558" spans="1:6" ht="19.95" customHeight="1">
      <c r="A558" s="47"/>
      <c r="B558" s="29"/>
      <c r="C558" s="29"/>
      <c r="D558" s="29"/>
      <c r="E558" s="30"/>
      <c r="F558" s="30"/>
    </row>
    <row r="559" spans="1:6" ht="19.95" customHeight="1">
      <c r="A559" s="31"/>
      <c r="B559" s="29"/>
      <c r="C559" s="29"/>
      <c r="D559" s="29"/>
      <c r="E559" s="30"/>
      <c r="F559" s="30"/>
    </row>
    <row r="560" spans="1:6" ht="19.95" customHeight="1">
      <c r="A560" s="31"/>
      <c r="B560" s="29"/>
      <c r="C560" s="29"/>
      <c r="D560" s="29"/>
      <c r="E560" s="30"/>
      <c r="F560" s="30"/>
    </row>
    <row r="561" spans="1:6" ht="19.95" customHeight="1">
      <c r="A561" s="37"/>
      <c r="B561" s="30"/>
      <c r="C561" s="30"/>
      <c r="D561" s="29"/>
      <c r="E561" s="30"/>
      <c r="F561" s="30"/>
    </row>
    <row r="562" spans="1:6" ht="19.95" customHeight="1">
      <c r="A562" s="38"/>
      <c r="B562" s="30"/>
      <c r="C562" s="30"/>
      <c r="D562" s="29"/>
      <c r="E562" s="30"/>
      <c r="F562" s="30"/>
    </row>
    <row r="563" spans="1:6" ht="19.95" customHeight="1">
      <c r="A563" s="38"/>
      <c r="B563" s="30"/>
      <c r="C563" s="30"/>
      <c r="D563" s="29"/>
      <c r="E563" s="30"/>
      <c r="F563" s="30"/>
    </row>
    <row r="564" spans="1:6" ht="19.95" customHeight="1">
      <c r="A564" s="37"/>
      <c r="B564" s="30"/>
      <c r="C564" s="30"/>
      <c r="D564" s="29"/>
      <c r="E564" s="30"/>
      <c r="F564" s="30"/>
    </row>
    <row r="565" spans="1:6" ht="19.95" customHeight="1">
      <c r="A565" s="37"/>
      <c r="B565" s="30"/>
      <c r="C565" s="30"/>
      <c r="D565" s="29"/>
      <c r="E565" s="30"/>
      <c r="F565" s="30"/>
    </row>
    <row r="566" spans="1:6" ht="19.95" customHeight="1">
      <c r="A566" s="37"/>
      <c r="B566" s="30"/>
      <c r="C566" s="30"/>
      <c r="D566" s="29"/>
      <c r="E566" s="30"/>
      <c r="F566" s="30"/>
    </row>
    <row r="567" spans="1:6" ht="19.95" customHeight="1">
      <c r="A567" s="37"/>
      <c r="B567" s="30"/>
      <c r="C567" s="30"/>
      <c r="D567" s="29"/>
      <c r="E567" s="30"/>
      <c r="F567" s="30"/>
    </row>
    <row r="568" spans="1:6" ht="19.95" customHeight="1">
      <c r="A568" s="38"/>
      <c r="B568" s="30"/>
      <c r="C568" s="30"/>
      <c r="D568" s="30"/>
      <c r="E568" s="30"/>
      <c r="F568" s="30"/>
    </row>
    <row r="569" spans="1:6" ht="19.95" customHeight="1">
      <c r="A569" s="34"/>
      <c r="B569" s="30"/>
      <c r="C569" s="30"/>
      <c r="D569" s="30"/>
      <c r="E569" s="30"/>
      <c r="F569" s="30"/>
    </row>
    <row r="570" spans="1:6" ht="19.95" customHeight="1">
      <c r="A570" s="154" t="s">
        <v>7</v>
      </c>
      <c r="B570" s="154"/>
      <c r="C570" s="154"/>
      <c r="D570" s="154"/>
      <c r="E570" s="154"/>
      <c r="F570" s="154"/>
    </row>
    <row r="571" spans="1:6" ht="19.95" customHeight="1">
      <c r="A571" s="19"/>
      <c r="B571" s="20"/>
      <c r="C571" s="20"/>
      <c r="D571" s="20"/>
      <c r="E571" s="21"/>
      <c r="F571" s="22"/>
    </row>
    <row r="572" spans="1:6" ht="19.95" customHeight="1">
      <c r="A572" s="23" t="s">
        <v>14</v>
      </c>
      <c r="E572" s="7" t="s">
        <v>0</v>
      </c>
      <c r="F572" s="8">
        <v>15</v>
      </c>
    </row>
    <row r="573" spans="1:6" ht="19.95" customHeight="1">
      <c r="A573" s="23" t="s">
        <v>15</v>
      </c>
      <c r="F573" s="24"/>
    </row>
    <row r="574" spans="1:6" ht="19.95" customHeight="1">
      <c r="A574" s="25"/>
      <c r="B574" s="26"/>
      <c r="C574" s="26"/>
      <c r="D574" s="26"/>
      <c r="E574" s="26"/>
      <c r="F574" s="27"/>
    </row>
    <row r="575" spans="1:6" ht="19.95" customHeight="1">
      <c r="A575" s="13" t="s">
        <v>8</v>
      </c>
      <c r="B575" s="13" t="s">
        <v>9</v>
      </c>
      <c r="C575" s="13" t="s">
        <v>10</v>
      </c>
      <c r="D575" s="13" t="s">
        <v>11</v>
      </c>
      <c r="E575" s="13" t="s">
        <v>12</v>
      </c>
      <c r="F575" s="13" t="s">
        <v>13</v>
      </c>
    </row>
    <row r="576" spans="1:6" ht="19.95" customHeight="1">
      <c r="A576" s="28"/>
      <c r="B576" s="29"/>
      <c r="C576" s="29"/>
      <c r="D576" s="29"/>
      <c r="E576" s="30"/>
      <c r="F576" s="30"/>
    </row>
    <row r="577" spans="1:6" ht="19.95" customHeight="1">
      <c r="A577" s="31"/>
      <c r="B577" s="29"/>
      <c r="C577" s="29"/>
      <c r="D577" s="29"/>
      <c r="E577" s="30"/>
      <c r="F577" s="30"/>
    </row>
    <row r="578" spans="1:6" ht="19.95" customHeight="1">
      <c r="A578" s="31"/>
      <c r="B578" s="29"/>
      <c r="C578" s="29"/>
      <c r="D578" s="29"/>
      <c r="E578" s="30"/>
      <c r="F578" s="30"/>
    </row>
    <row r="579" spans="1:6" ht="19.95" customHeight="1">
      <c r="A579" s="31"/>
      <c r="B579" s="29"/>
      <c r="C579" s="29"/>
      <c r="D579" s="29"/>
      <c r="E579" s="30"/>
      <c r="F579" s="30"/>
    </row>
    <row r="580" spans="1:6" ht="19.95" customHeight="1">
      <c r="A580" s="31"/>
      <c r="B580" s="29"/>
      <c r="C580" s="29"/>
      <c r="D580" s="29"/>
      <c r="F580" s="30"/>
    </row>
    <row r="581" spans="1:6" ht="19.95" customHeight="1">
      <c r="A581" s="31"/>
      <c r="B581" s="29"/>
      <c r="C581" s="29"/>
      <c r="D581" s="29"/>
      <c r="E581" s="30"/>
      <c r="F581" s="30"/>
    </row>
    <row r="582" spans="1:6" ht="19.95" customHeight="1">
      <c r="A582" s="31"/>
      <c r="B582" s="29"/>
      <c r="C582" s="29"/>
      <c r="D582" s="29"/>
      <c r="E582" s="30"/>
      <c r="F582" s="30"/>
    </row>
    <row r="583" spans="1:6" ht="19.95" customHeight="1">
      <c r="A583" s="31"/>
      <c r="B583" s="29"/>
      <c r="C583" s="29"/>
      <c r="D583" s="29"/>
      <c r="E583" s="30"/>
      <c r="F583" s="30"/>
    </row>
    <row r="584" spans="1:6" ht="19.95" customHeight="1">
      <c r="A584" s="31"/>
      <c r="B584" s="29"/>
      <c r="C584" s="29"/>
      <c r="D584" s="29"/>
      <c r="E584" s="30"/>
      <c r="F584" s="30"/>
    </row>
    <row r="585" spans="1:6" ht="19.95" customHeight="1">
      <c r="A585" s="31"/>
      <c r="B585" s="29"/>
      <c r="C585" s="29"/>
      <c r="D585" s="29"/>
      <c r="E585" s="30"/>
      <c r="F585" s="30"/>
    </row>
    <row r="586" spans="1:6" ht="19.95" customHeight="1">
      <c r="A586" s="31"/>
      <c r="B586" s="29"/>
      <c r="C586" s="29"/>
      <c r="D586" s="29"/>
      <c r="E586" s="30"/>
      <c r="F586" s="30"/>
    </row>
    <row r="587" spans="1:6" ht="19.95" customHeight="1">
      <c r="A587" s="31"/>
      <c r="B587" s="29"/>
      <c r="C587" s="29"/>
      <c r="D587" s="29"/>
      <c r="E587" s="30"/>
      <c r="F587" s="30"/>
    </row>
    <row r="588" spans="1:6" ht="19.95" customHeight="1">
      <c r="A588" s="31"/>
      <c r="B588" s="29"/>
      <c r="C588" s="29"/>
      <c r="D588" s="29"/>
      <c r="E588" s="30"/>
      <c r="F588" s="30"/>
    </row>
    <row r="589" spans="1:6" ht="19.95" customHeight="1">
      <c r="A589" s="31"/>
      <c r="B589" s="29"/>
      <c r="C589" s="29"/>
      <c r="D589" s="29"/>
      <c r="E589" s="30"/>
      <c r="F589" s="30"/>
    </row>
    <row r="590" spans="1:6" ht="19.95" customHeight="1">
      <c r="A590" s="31"/>
      <c r="B590" s="29"/>
      <c r="C590" s="29"/>
      <c r="D590" s="29"/>
      <c r="E590" s="30"/>
      <c r="F590" s="30"/>
    </row>
    <row r="591" spans="1:6" ht="19.95" customHeight="1">
      <c r="A591" s="31"/>
      <c r="B591" s="29"/>
      <c r="C591" s="29"/>
      <c r="D591" s="29"/>
      <c r="E591" s="30"/>
      <c r="F591" s="30"/>
    </row>
    <row r="592" spans="1:6" ht="19.95" customHeight="1">
      <c r="A592" s="31"/>
      <c r="B592" s="29"/>
      <c r="C592" s="29"/>
      <c r="D592" s="29"/>
      <c r="E592" s="30"/>
      <c r="F592" s="30"/>
    </row>
    <row r="593" spans="1:6" ht="19.95" customHeight="1">
      <c r="A593" s="31"/>
      <c r="B593" s="29"/>
      <c r="C593" s="29"/>
      <c r="D593" s="29"/>
      <c r="E593" s="30"/>
      <c r="F593" s="30"/>
    </row>
    <row r="594" spans="1:6" ht="19.95" customHeight="1">
      <c r="A594" s="31"/>
      <c r="B594" s="29"/>
      <c r="C594" s="29"/>
      <c r="D594" s="29"/>
      <c r="E594" s="30"/>
      <c r="F594" s="30"/>
    </row>
    <row r="595" spans="1:6" ht="19.95" customHeight="1">
      <c r="A595" s="31"/>
      <c r="B595" s="29"/>
      <c r="C595" s="29"/>
      <c r="D595" s="29"/>
      <c r="E595" s="30"/>
      <c r="F595" s="30"/>
    </row>
    <row r="596" spans="1:6" ht="19.95" customHeight="1">
      <c r="A596" s="31"/>
      <c r="B596" s="29"/>
      <c r="C596" s="29"/>
      <c r="D596" s="29"/>
      <c r="E596" s="30"/>
      <c r="F596" s="30"/>
    </row>
    <row r="597" spans="1:6" ht="19.95" customHeight="1">
      <c r="A597" s="31"/>
      <c r="B597" s="29"/>
      <c r="C597" s="29"/>
      <c r="D597" s="29"/>
      <c r="E597" s="30"/>
      <c r="F597" s="30"/>
    </row>
    <row r="598" spans="1:6" ht="19.95" customHeight="1">
      <c r="A598" s="31"/>
      <c r="B598" s="29"/>
      <c r="C598" s="29"/>
      <c r="D598" s="29"/>
      <c r="E598" s="30"/>
      <c r="F598" s="30"/>
    </row>
    <row r="599" spans="1:6" ht="19.95" customHeight="1">
      <c r="A599" s="37"/>
      <c r="B599" s="30"/>
      <c r="C599" s="30"/>
      <c r="D599" s="29"/>
      <c r="E599" s="30"/>
      <c r="F599" s="30"/>
    </row>
    <row r="600" spans="1:6" ht="19.95" customHeight="1">
      <c r="A600" s="38"/>
      <c r="B600" s="30"/>
      <c r="C600" s="30"/>
      <c r="D600" s="29"/>
      <c r="E600" s="30"/>
      <c r="F600" s="30"/>
    </row>
    <row r="601" spans="1:6" ht="19.95" customHeight="1">
      <c r="A601" s="38"/>
      <c r="B601" s="30"/>
      <c r="C601" s="30"/>
      <c r="D601" s="29"/>
      <c r="E601" s="30"/>
      <c r="F601" s="30"/>
    </row>
    <row r="602" spans="1:6" ht="19.95" customHeight="1">
      <c r="A602" s="37"/>
      <c r="B602" s="30"/>
      <c r="C602" s="30"/>
      <c r="D602" s="29"/>
      <c r="E602" s="30"/>
      <c r="F602" s="30"/>
    </row>
    <row r="603" spans="1:6" ht="19.95" customHeight="1">
      <c r="A603" s="37"/>
      <c r="B603" s="30"/>
      <c r="C603" s="30"/>
      <c r="D603" s="29"/>
      <c r="E603" s="30"/>
      <c r="F603" s="30"/>
    </row>
    <row r="604" spans="1:6" ht="19.95" customHeight="1">
      <c r="A604" s="37"/>
      <c r="B604" s="30"/>
      <c r="C604" s="30"/>
      <c r="D604" s="29"/>
      <c r="E604" s="30"/>
      <c r="F604" s="30"/>
    </row>
    <row r="605" spans="1:6" ht="19.95" customHeight="1">
      <c r="A605" s="37"/>
      <c r="B605" s="30"/>
      <c r="C605" s="30"/>
      <c r="D605" s="29"/>
      <c r="E605" s="30"/>
      <c r="F605" s="30"/>
    </row>
    <row r="606" spans="1:6" ht="19.95" customHeight="1">
      <c r="A606" s="38"/>
      <c r="B606" s="30"/>
      <c r="C606" s="30"/>
      <c r="D606" s="30"/>
      <c r="E606" s="30"/>
      <c r="F606" s="30"/>
    </row>
    <row r="607" spans="1:6" ht="19.95" customHeight="1">
      <c r="A607" s="34"/>
      <c r="B607" s="30"/>
      <c r="C607" s="30"/>
      <c r="D607" s="30"/>
      <c r="E607" s="30"/>
      <c r="F607" s="30"/>
    </row>
    <row r="608" spans="1:6" ht="19.95" customHeight="1">
      <c r="A608" s="154" t="s">
        <v>7</v>
      </c>
      <c r="B608" s="154"/>
      <c r="C608" s="154"/>
      <c r="D608" s="154"/>
      <c r="E608" s="154"/>
      <c r="F608" s="154"/>
    </row>
    <row r="609" spans="1:6" ht="19.95" customHeight="1">
      <c r="A609" s="19"/>
      <c r="B609" s="20"/>
      <c r="C609" s="20"/>
      <c r="D609" s="20"/>
      <c r="E609" s="21"/>
      <c r="F609" s="22"/>
    </row>
    <row r="610" spans="1:6" ht="19.95" customHeight="1">
      <c r="A610" s="23" t="s">
        <v>14</v>
      </c>
      <c r="E610" s="7" t="s">
        <v>0</v>
      </c>
      <c r="F610" s="8">
        <v>16</v>
      </c>
    </row>
    <row r="611" spans="1:6" ht="19.95" customHeight="1">
      <c r="A611" s="23" t="s">
        <v>15</v>
      </c>
      <c r="F611" s="24"/>
    </row>
    <row r="612" spans="1:6" ht="19.95" customHeight="1">
      <c r="A612" s="25"/>
      <c r="B612" s="26"/>
      <c r="C612" s="26"/>
      <c r="D612" s="26"/>
      <c r="E612" s="26"/>
      <c r="F612" s="27"/>
    </row>
    <row r="613" spans="1:6" ht="19.95" customHeight="1">
      <c r="A613" s="13" t="s">
        <v>8</v>
      </c>
      <c r="B613" s="13" t="s">
        <v>9</v>
      </c>
      <c r="C613" s="13" t="s">
        <v>10</v>
      </c>
      <c r="D613" s="13" t="s">
        <v>11</v>
      </c>
      <c r="E613" s="13" t="s">
        <v>12</v>
      </c>
      <c r="F613" s="13" t="s">
        <v>13</v>
      </c>
    </row>
    <row r="614" spans="1:6" ht="19.95" customHeight="1">
      <c r="A614" s="28"/>
      <c r="B614" s="29"/>
      <c r="C614" s="29"/>
      <c r="D614" s="29"/>
      <c r="E614" s="30"/>
      <c r="F614" s="30"/>
    </row>
    <row r="615" spans="1:6" ht="19.95" customHeight="1">
      <c r="A615" s="31"/>
      <c r="B615" s="29"/>
      <c r="C615" s="29"/>
      <c r="D615" s="29"/>
      <c r="E615" s="30"/>
      <c r="F615" s="30"/>
    </row>
    <row r="616" spans="1:6" ht="19.95" customHeight="1">
      <c r="A616" s="31"/>
      <c r="B616" s="29"/>
      <c r="C616" s="29"/>
      <c r="D616" s="29"/>
      <c r="E616" s="30"/>
      <c r="F616" s="30"/>
    </row>
    <row r="617" spans="1:6" ht="19.95" customHeight="1">
      <c r="A617" s="31"/>
      <c r="B617" s="29"/>
      <c r="C617" s="29"/>
      <c r="D617" s="29"/>
      <c r="E617" s="30"/>
      <c r="F617" s="30"/>
    </row>
    <row r="618" spans="1:6" ht="19.95" customHeight="1">
      <c r="A618" s="31"/>
      <c r="B618" s="29"/>
      <c r="C618" s="29"/>
      <c r="D618" s="29"/>
      <c r="F618" s="30"/>
    </row>
    <row r="619" spans="1:6" ht="19.95" customHeight="1">
      <c r="A619" s="31"/>
      <c r="B619" s="29"/>
      <c r="C619" s="29"/>
      <c r="D619" s="29"/>
      <c r="E619" s="30"/>
      <c r="F619" s="30"/>
    </row>
    <row r="620" spans="1:6" ht="19.95" customHeight="1">
      <c r="A620" s="31"/>
      <c r="B620" s="29"/>
      <c r="C620" s="29"/>
      <c r="D620" s="29"/>
      <c r="E620" s="30"/>
      <c r="F620" s="30"/>
    </row>
    <row r="621" spans="1:6" ht="19.95" customHeight="1">
      <c r="A621" s="31"/>
      <c r="B621" s="29"/>
      <c r="C621" s="29"/>
      <c r="D621" s="29"/>
      <c r="E621" s="30"/>
      <c r="F621" s="30"/>
    </row>
    <row r="622" spans="1:6" ht="19.95" customHeight="1">
      <c r="A622" s="31"/>
      <c r="B622" s="29"/>
      <c r="C622" s="29"/>
      <c r="D622" s="29"/>
      <c r="E622" s="30"/>
      <c r="F622" s="30"/>
    </row>
    <row r="623" spans="1:6" ht="19.95" customHeight="1">
      <c r="A623" s="31"/>
      <c r="B623" s="29"/>
      <c r="C623" s="29"/>
      <c r="D623" s="29"/>
      <c r="E623" s="30"/>
      <c r="F623" s="30"/>
    </row>
    <row r="624" spans="1:6" ht="19.95" customHeight="1">
      <c r="A624" s="31"/>
      <c r="B624" s="29"/>
      <c r="C624" s="29"/>
      <c r="D624" s="29"/>
      <c r="E624" s="30"/>
      <c r="F624" s="30"/>
    </row>
    <row r="625" spans="1:6" ht="19.95" customHeight="1">
      <c r="A625" s="31"/>
      <c r="B625" s="29"/>
      <c r="C625" s="29"/>
      <c r="D625" s="29"/>
      <c r="E625" s="30"/>
      <c r="F625" s="30"/>
    </row>
    <row r="626" spans="1:6" ht="19.95" customHeight="1">
      <c r="A626" s="31"/>
      <c r="B626" s="29"/>
      <c r="C626" s="29"/>
      <c r="D626" s="29"/>
      <c r="E626" s="30"/>
      <c r="F626" s="30"/>
    </row>
    <row r="627" spans="1:6" ht="19.95" customHeight="1">
      <c r="A627" s="31"/>
      <c r="B627" s="29"/>
      <c r="C627" s="29"/>
      <c r="D627" s="29"/>
      <c r="E627" s="30"/>
      <c r="F627" s="30"/>
    </row>
    <row r="628" spans="1:6" ht="19.95" customHeight="1">
      <c r="A628" s="31"/>
      <c r="B628" s="29"/>
      <c r="C628" s="29"/>
      <c r="D628" s="29"/>
      <c r="E628" s="30"/>
      <c r="F628" s="30"/>
    </row>
    <row r="629" spans="1:6" ht="19.95" customHeight="1">
      <c r="A629" s="31"/>
      <c r="B629" s="29"/>
      <c r="C629" s="29"/>
      <c r="D629" s="29"/>
      <c r="E629" s="30"/>
      <c r="F629" s="30"/>
    </row>
    <row r="630" spans="1:6" ht="19.95" customHeight="1">
      <c r="A630" s="31"/>
      <c r="B630" s="29"/>
      <c r="C630" s="29"/>
      <c r="D630" s="29"/>
      <c r="E630" s="30"/>
      <c r="F630" s="30"/>
    </row>
    <row r="631" spans="1:6" ht="19.95" customHeight="1">
      <c r="A631" s="31"/>
      <c r="B631" s="29"/>
      <c r="C631" s="29"/>
      <c r="D631" s="29"/>
      <c r="E631" s="30"/>
      <c r="F631" s="30"/>
    </row>
    <row r="632" spans="1:6" ht="19.95" customHeight="1">
      <c r="A632" s="31"/>
      <c r="B632" s="29"/>
      <c r="C632" s="29"/>
      <c r="D632" s="29"/>
      <c r="E632" s="30"/>
      <c r="F632" s="30"/>
    </row>
    <row r="633" spans="1:6" ht="19.95" customHeight="1">
      <c r="A633" s="31"/>
      <c r="B633" s="29"/>
      <c r="C633" s="29"/>
      <c r="D633" s="29"/>
      <c r="E633" s="30"/>
      <c r="F633" s="30"/>
    </row>
    <row r="634" spans="1:6" ht="19.95" customHeight="1">
      <c r="A634" s="31"/>
      <c r="B634" s="29"/>
      <c r="C634" s="29"/>
      <c r="D634" s="29"/>
      <c r="E634" s="30"/>
      <c r="F634" s="30"/>
    </row>
    <row r="635" spans="1:6" ht="19.95" customHeight="1">
      <c r="A635" s="31"/>
      <c r="B635" s="29"/>
      <c r="C635" s="29"/>
      <c r="D635" s="29"/>
      <c r="E635" s="30"/>
      <c r="F635" s="30"/>
    </row>
    <row r="636" spans="1:6" ht="19.95" customHeight="1">
      <c r="A636" s="31"/>
      <c r="B636" s="29"/>
      <c r="C636" s="29"/>
      <c r="D636" s="29"/>
      <c r="E636" s="30"/>
      <c r="F636" s="30"/>
    </row>
    <row r="637" spans="1:6" ht="19.95" customHeight="1">
      <c r="A637" s="37"/>
      <c r="B637" s="30"/>
      <c r="C637" s="30"/>
      <c r="D637" s="29"/>
      <c r="E637" s="30"/>
      <c r="F637" s="30"/>
    </row>
    <row r="638" spans="1:6" ht="19.95" customHeight="1">
      <c r="A638" s="38"/>
      <c r="B638" s="30"/>
      <c r="C638" s="30"/>
      <c r="D638" s="29"/>
      <c r="E638" s="30"/>
      <c r="F638" s="30"/>
    </row>
    <row r="639" spans="1:6" ht="19.95" customHeight="1">
      <c r="A639" s="38"/>
      <c r="B639" s="30"/>
      <c r="C639" s="30"/>
      <c r="D639" s="29"/>
      <c r="E639" s="30"/>
      <c r="F639" s="30"/>
    </row>
    <row r="640" spans="1:6" ht="19.95" customHeight="1">
      <c r="A640" s="37"/>
      <c r="B640" s="30"/>
      <c r="C640" s="30"/>
      <c r="D640" s="29"/>
      <c r="E640" s="30"/>
      <c r="F640" s="30"/>
    </row>
    <row r="641" spans="1:6" ht="19.95" customHeight="1">
      <c r="A641" s="37"/>
      <c r="B641" s="30"/>
      <c r="C641" s="30"/>
      <c r="D641" s="29"/>
      <c r="E641" s="30"/>
      <c r="F641" s="30"/>
    </row>
    <row r="642" spans="1:6" ht="19.95" customHeight="1">
      <c r="A642" s="37"/>
      <c r="B642" s="30"/>
      <c r="C642" s="30"/>
      <c r="D642" s="29"/>
      <c r="E642" s="30"/>
      <c r="F642" s="30"/>
    </row>
    <row r="643" spans="1:6" ht="19.95" customHeight="1">
      <c r="A643" s="37"/>
      <c r="B643" s="30"/>
      <c r="C643" s="30"/>
      <c r="D643" s="29"/>
      <c r="E643" s="30"/>
      <c r="F643" s="30"/>
    </row>
    <row r="644" spans="1:6" ht="19.95" customHeight="1">
      <c r="A644" s="38"/>
      <c r="B644" s="30"/>
      <c r="C644" s="30"/>
      <c r="D644" s="30"/>
      <c r="E644" s="30"/>
      <c r="F644" s="30"/>
    </row>
    <row r="645" spans="1:6" ht="19.95" customHeight="1">
      <c r="A645" s="34"/>
      <c r="B645" s="30"/>
      <c r="C645" s="30"/>
      <c r="D645" s="30"/>
      <c r="E645" s="30"/>
      <c r="F645" s="30"/>
    </row>
    <row r="646" spans="1:6" ht="19.95" customHeight="1">
      <c r="A646" s="154" t="s">
        <v>7</v>
      </c>
      <c r="B646" s="154"/>
      <c r="C646" s="154"/>
      <c r="D646" s="154"/>
      <c r="E646" s="154"/>
      <c r="F646" s="154"/>
    </row>
  </sheetData>
  <mergeCells count="50">
    <mergeCell ref="A646:F646"/>
    <mergeCell ref="A456:F456"/>
    <mergeCell ref="A494:F494"/>
    <mergeCell ref="A532:F532"/>
    <mergeCell ref="A570:F570"/>
    <mergeCell ref="A608:F608"/>
    <mergeCell ref="A266:F266"/>
    <mergeCell ref="A304:F304"/>
    <mergeCell ref="A342:F342"/>
    <mergeCell ref="A380:F380"/>
    <mergeCell ref="A418:F418"/>
    <mergeCell ref="A76:F76"/>
    <mergeCell ref="A114:F114"/>
    <mergeCell ref="A152:F152"/>
    <mergeCell ref="A190:F190"/>
    <mergeCell ref="A228:F228"/>
    <mergeCell ref="A35:B35"/>
    <mergeCell ref="A36:B36"/>
    <mergeCell ref="A37:B37"/>
    <mergeCell ref="A38:F38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6:B6"/>
    <mergeCell ref="D6:F6"/>
    <mergeCell ref="A7:B7"/>
    <mergeCell ref="A8:B8"/>
    <mergeCell ref="A9:B9"/>
  </mergeCells>
  <pageMargins left="0.196527777777778" right="0.196527777777778" top="0.196527777777778" bottom="0.196527777777778" header="0.29861111111111099" footer="0.29861111111111099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KALIKA ENT</dc:creator>
  <cp:lastModifiedBy>Komal Shinde</cp:lastModifiedBy>
  <cp:lastPrinted>2025-10-19T09:56:50Z</cp:lastPrinted>
  <dcterms:created xsi:type="dcterms:W3CDTF">2025-08-13T07:54:00Z</dcterms:created>
  <dcterms:modified xsi:type="dcterms:W3CDTF">2025-10-20T09:32:21Z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2FB5BBD69C754CB2AD88D9A4622C4BA6_11</vt:lpwstr>
  </property>
  <property fmtid="{D5CDD505-2E9C-101B-9397-08002B2CF9AE}" pid="3" name="KSOProductBuildVer">
    <vt:lpwstr>1033-12.2.0.22549</vt:lpwstr>
  </property>
</Properties>
</file>